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hkde\Desktop\김광동\개인\Sena_Calculator\Sena_Calculator\"/>
    </mc:Choice>
  </mc:AlternateContent>
  <xr:revisionPtr revIDLastSave="0" documentId="13_ncr:1_{46514829-CB96-4E9D-ACD8-353801C4EDB1}" xr6:coauthVersionLast="47" xr6:coauthVersionMax="47" xr10:uidLastSave="{00000000-0000-0000-0000-000000000000}"/>
  <bookViews>
    <workbookView xWindow="-28920" yWindow="-120" windowWidth="29040" windowHeight="15720" xr2:uid="{910D51C7-5F0D-4FFD-AE52-A368C019A0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1" l="1"/>
  <c r="B21" i="1"/>
  <c r="H14" i="1"/>
  <c r="E6" i="1"/>
  <c r="O2" i="1"/>
  <c r="L2" i="1"/>
  <c r="N2" i="1"/>
  <c r="D21" i="1" l="1"/>
</calcChain>
</file>

<file path=xl/sharedStrings.xml><?xml version="1.0" encoding="utf-8"?>
<sst xmlns="http://schemas.openxmlformats.org/spreadsheetml/2006/main" count="35" uniqueCount="33">
  <si>
    <t>기본 공격력</t>
    <phoneticPr fontId="1" type="noConversion"/>
  </si>
  <si>
    <t>장비 깡공</t>
    <phoneticPr fontId="1" type="noConversion"/>
  </si>
  <si>
    <t>장비 공퍼</t>
    <phoneticPr fontId="1" type="noConversion"/>
  </si>
  <si>
    <t>초월 공퍼</t>
    <phoneticPr fontId="1" type="noConversion"/>
  </si>
  <si>
    <t>장신구 공퍼</t>
    <phoneticPr fontId="1" type="noConversion"/>
  </si>
  <si>
    <t>펫깡공</t>
    <phoneticPr fontId="1" type="noConversion"/>
  </si>
  <si>
    <t>진형 공퍼</t>
    <phoneticPr fontId="1" type="noConversion"/>
  </si>
  <si>
    <t>펫옵션</t>
    <phoneticPr fontId="1" type="noConversion"/>
  </si>
  <si>
    <t>스탯창</t>
    <phoneticPr fontId="1" type="noConversion"/>
  </si>
  <si>
    <t>인게임</t>
    <phoneticPr fontId="1" type="noConversion"/>
  </si>
  <si>
    <t>버프 공퍼</t>
    <phoneticPr fontId="1" type="noConversion"/>
  </si>
  <si>
    <t>잠재</t>
    <phoneticPr fontId="1" type="noConversion"/>
  </si>
  <si>
    <t>장비부옵</t>
    <phoneticPr fontId="1" type="noConversion"/>
  </si>
  <si>
    <t>치피</t>
    <phoneticPr fontId="1" type="noConversion"/>
  </si>
  <si>
    <t>약점</t>
    <phoneticPr fontId="1" type="noConversion"/>
  </si>
  <si>
    <t>피증</t>
    <phoneticPr fontId="1" type="noConversion"/>
  </si>
  <si>
    <t>방어력</t>
    <phoneticPr fontId="1" type="noConversion"/>
  </si>
  <si>
    <t>방깎</t>
    <phoneticPr fontId="1" type="noConversion"/>
  </si>
  <si>
    <t>방어무시</t>
    <phoneticPr fontId="1" type="noConversion"/>
  </si>
  <si>
    <t>취약</t>
    <phoneticPr fontId="1" type="noConversion"/>
  </si>
  <si>
    <t>받피증</t>
    <phoneticPr fontId="1" type="noConversion"/>
  </si>
  <si>
    <t>스킬배율</t>
    <phoneticPr fontId="1" type="noConversion"/>
  </si>
  <si>
    <t>방어계수</t>
    <phoneticPr fontId="1" type="noConversion"/>
  </si>
  <si>
    <t>방증</t>
    <phoneticPr fontId="1" type="noConversion"/>
  </si>
  <si>
    <t>상수</t>
    <phoneticPr fontId="1" type="noConversion"/>
  </si>
  <si>
    <t>결과값</t>
    <phoneticPr fontId="1" type="noConversion"/>
  </si>
  <si>
    <t>스킬데미지</t>
    <phoneticPr fontId="1" type="noConversion"/>
  </si>
  <si>
    <t>추가데미지</t>
    <phoneticPr fontId="1" type="noConversion"/>
  </si>
  <si>
    <t>추가배율(공격력 배율)</t>
    <phoneticPr fontId="1" type="noConversion"/>
  </si>
  <si>
    <t>장비</t>
    <phoneticPr fontId="1" type="noConversion"/>
  </si>
  <si>
    <t>버프</t>
    <phoneticPr fontId="1" type="noConversion"/>
  </si>
  <si>
    <t>장신구</t>
    <phoneticPr fontId="1" type="noConversion"/>
  </si>
  <si>
    <t>최종 데미지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</si>
</sst>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F21CC-03A6-4D72-A43D-F7FAB27B1987}">
  <dimension ref="B1:O21"/>
  <sheetViews>
    <sheetView tabSelected="1" workbookViewId="0">
      <selection activeCell="C22" sqref="C22"/>
    </sheetView>
  </sheetViews>
  <sheetFormatPr defaultRowHeight="16.5" x14ac:dyDescent="0.3"/>
  <cols>
    <col min="2" max="2" width="11.625" bestFit="1" customWidth="1"/>
    <col min="3" max="3" width="12.75" bestFit="1" customWidth="1"/>
    <col min="6" max="6" width="21.375" bestFit="1" customWidth="1"/>
  </cols>
  <sheetData>
    <row r="1" spans="2:15" x14ac:dyDescent="0.3">
      <c r="B1" t="s">
        <v>0</v>
      </c>
      <c r="C1" t="s">
        <v>1</v>
      </c>
      <c r="D1" t="s">
        <v>5</v>
      </c>
      <c r="E1" t="s">
        <v>11</v>
      </c>
      <c r="F1" t="s">
        <v>12</v>
      </c>
      <c r="G1" t="s">
        <v>2</v>
      </c>
      <c r="H1" t="s">
        <v>3</v>
      </c>
      <c r="I1" t="s">
        <v>4</v>
      </c>
      <c r="J1" t="s">
        <v>6</v>
      </c>
      <c r="K1" t="s">
        <v>7</v>
      </c>
      <c r="L1" t="s">
        <v>10</v>
      </c>
      <c r="N1" t="s">
        <v>8</v>
      </c>
      <c r="O1" t="s">
        <v>9</v>
      </c>
    </row>
    <row r="2" spans="2:15" x14ac:dyDescent="0.3">
      <c r="B2">
        <v>1500</v>
      </c>
      <c r="C2">
        <v>608</v>
      </c>
      <c r="D2">
        <v>564</v>
      </c>
      <c r="E2">
        <v>370</v>
      </c>
      <c r="F2">
        <v>250</v>
      </c>
      <c r="G2">
        <v>0.76</v>
      </c>
      <c r="H2">
        <v>0.42</v>
      </c>
      <c r="I2">
        <v>7.0000000000000007E-2</v>
      </c>
      <c r="J2">
        <v>0.21</v>
      </c>
      <c r="K2">
        <v>0.43</v>
      </c>
      <c r="L2">
        <f>SUM(L3:L5)</f>
        <v>0.48</v>
      </c>
      <c r="N2">
        <f>B2+(B2*(G2+H2+I2))+C2+E2+F2</f>
        <v>4603</v>
      </c>
      <c r="O2">
        <f>((B2+(B2*(G2+H2+I2+J2+K2))+C2+D2+E2+F2))*(1+L2)</f>
        <v>9067.9599999999991</v>
      </c>
    </row>
    <row r="3" spans="2:15" x14ac:dyDescent="0.3">
      <c r="L3">
        <v>0.21</v>
      </c>
    </row>
    <row r="4" spans="2:15" x14ac:dyDescent="0.3">
      <c r="L4">
        <v>0.27</v>
      </c>
    </row>
    <row r="5" spans="2:15" x14ac:dyDescent="0.3">
      <c r="B5" t="s">
        <v>13</v>
      </c>
      <c r="C5" t="s">
        <v>14</v>
      </c>
      <c r="E5" t="s">
        <v>15</v>
      </c>
      <c r="F5" t="s">
        <v>21</v>
      </c>
      <c r="G5" t="s">
        <v>28</v>
      </c>
    </row>
    <row r="6" spans="2:15" x14ac:dyDescent="0.3">
      <c r="B6">
        <v>2.04</v>
      </c>
      <c r="C6">
        <v>1.3</v>
      </c>
      <c r="E6">
        <f>SUM(E7:E11)</f>
        <v>1.4900000000000002</v>
      </c>
      <c r="F6">
        <v>1.7</v>
      </c>
      <c r="G6">
        <v>2.7</v>
      </c>
    </row>
    <row r="7" spans="2:15" x14ac:dyDescent="0.3">
      <c r="D7" t="s">
        <v>29</v>
      </c>
      <c r="E7">
        <v>0.3</v>
      </c>
    </row>
    <row r="8" spans="2:15" x14ac:dyDescent="0.3">
      <c r="D8" t="s">
        <v>29</v>
      </c>
      <c r="E8">
        <v>0.4</v>
      </c>
    </row>
    <row r="9" spans="2:15" x14ac:dyDescent="0.3">
      <c r="D9" t="s">
        <v>30</v>
      </c>
      <c r="E9">
        <v>0.4</v>
      </c>
    </row>
    <row r="10" spans="2:15" x14ac:dyDescent="0.3">
      <c r="D10" t="s">
        <v>30</v>
      </c>
      <c r="E10">
        <v>0.31</v>
      </c>
    </row>
    <row r="11" spans="2:15" x14ac:dyDescent="0.3">
      <c r="D11" t="s">
        <v>31</v>
      </c>
      <c r="E11">
        <v>0.08</v>
      </c>
    </row>
    <row r="13" spans="2:15" x14ac:dyDescent="0.3">
      <c r="B13" t="s">
        <v>16</v>
      </c>
      <c r="C13" t="s">
        <v>23</v>
      </c>
      <c r="D13" t="s">
        <v>17</v>
      </c>
      <c r="E13" t="s">
        <v>18</v>
      </c>
      <c r="F13" t="s">
        <v>24</v>
      </c>
      <c r="H13" t="s">
        <v>22</v>
      </c>
    </row>
    <row r="14" spans="2:15" x14ac:dyDescent="0.3">
      <c r="B14">
        <v>1023</v>
      </c>
      <c r="C14">
        <v>0</v>
      </c>
      <c r="D14">
        <v>0.6</v>
      </c>
      <c r="E14">
        <v>0.4</v>
      </c>
      <c r="F14">
        <v>2.14E-3</v>
      </c>
      <c r="H14">
        <f>1+B14*(1+C14-D14)*(1-E14)*F14</f>
        <v>1.5254128</v>
      </c>
    </row>
    <row r="16" spans="2:15" x14ac:dyDescent="0.3">
      <c r="B16" t="s">
        <v>19</v>
      </c>
      <c r="C16" t="s">
        <v>20</v>
      </c>
    </row>
    <row r="17" spans="2:4" x14ac:dyDescent="0.3">
      <c r="B17">
        <v>0.28000000000000003</v>
      </c>
      <c r="C17">
        <v>0.32</v>
      </c>
    </row>
    <row r="19" spans="2:4" x14ac:dyDescent="0.3">
      <c r="B19" t="s">
        <v>25</v>
      </c>
    </row>
    <row r="20" spans="2:4" x14ac:dyDescent="0.3">
      <c r="B20" t="s">
        <v>26</v>
      </c>
      <c r="C20" t="s">
        <v>27</v>
      </c>
      <c r="D20" t="s">
        <v>32</v>
      </c>
    </row>
    <row r="21" spans="2:4" x14ac:dyDescent="0.3">
      <c r="B21">
        <f>((O2/H14)*F6*B6*C6*(1+E6))*(1+(B17+C17))</f>
        <v>106773.62324622949</v>
      </c>
      <c r="C21">
        <f>((O2/H14)*G6*B6*C6*(1+E6))*(1+(B17+C17))</f>
        <v>169581.63692048215</v>
      </c>
      <c r="D21">
        <f>B21+C21</f>
        <v>276355.26016671164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광동 김</dc:creator>
  <cp:lastModifiedBy>광동 김</cp:lastModifiedBy>
  <dcterms:created xsi:type="dcterms:W3CDTF">2026-02-06T03:31:35Z</dcterms:created>
  <dcterms:modified xsi:type="dcterms:W3CDTF">2026-02-07T10:21:36Z</dcterms:modified>
</cp:coreProperties>
</file>