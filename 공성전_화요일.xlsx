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hkde\Desktop\Sena_Calculator\"/>
    </mc:Choice>
  </mc:AlternateContent>
  <xr:revisionPtr revIDLastSave="0" documentId="8_{A9D17F5D-059D-480B-B95B-8B235E2C4CA9}" xr6:coauthVersionLast="46" xr6:coauthVersionMax="46" xr10:uidLastSave="{00000000-0000-0000-0000-000000000000}"/>
  <bookViews>
    <workbookView xWindow="-28920" yWindow="-60" windowWidth="29040" windowHeight="15720" xr2:uid="{921A8665-C726-4D26-845B-62E182286540}"/>
  </bookViews>
  <sheets>
    <sheet name="공성전" sheetId="1" r:id="rId1"/>
    <sheet name="나타" sheetId="2" r:id="rId2"/>
    <sheet name="미호" sheetId="3" r:id="rId3"/>
    <sheet name="비스킷" sheetId="4" r:id="rId4"/>
    <sheet name="클로에" sheetId="5" r:id="rId5"/>
    <sheet name="리나" sheetId="6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73" i="1" l="1"/>
  <c r="M61" i="1"/>
</calcChain>
</file>

<file path=xl/sharedStrings.xml><?xml version="1.0" encoding="utf-8"?>
<sst xmlns="http://schemas.openxmlformats.org/spreadsheetml/2006/main" count="701" uniqueCount="132">
  <si>
    <t>공성전</t>
    <phoneticPr fontId="1" type="noConversion"/>
  </si>
  <si>
    <t>수요일</t>
    <phoneticPr fontId="1" type="noConversion"/>
  </si>
  <si>
    <t>진형</t>
    <phoneticPr fontId="1" type="noConversion"/>
  </si>
  <si>
    <t>밸런스</t>
    <phoneticPr fontId="1" type="noConversion"/>
  </si>
  <si>
    <t>후열</t>
    <phoneticPr fontId="1" type="noConversion"/>
  </si>
  <si>
    <t>전열</t>
    <phoneticPr fontId="1" type="noConversion"/>
  </si>
  <si>
    <t>1번</t>
    <phoneticPr fontId="1" type="noConversion"/>
  </si>
  <si>
    <t>2번</t>
  </si>
  <si>
    <t>3번</t>
  </si>
  <si>
    <t>4번</t>
  </si>
  <si>
    <t>5번</t>
  </si>
  <si>
    <t>클로에</t>
    <phoneticPr fontId="1" type="noConversion"/>
  </si>
  <si>
    <t>리나</t>
    <phoneticPr fontId="1" type="noConversion"/>
  </si>
  <si>
    <t>비스킷</t>
    <phoneticPr fontId="1" type="noConversion"/>
  </si>
  <si>
    <t>미호</t>
    <phoneticPr fontId="1" type="noConversion"/>
  </si>
  <si>
    <t>나타</t>
    <phoneticPr fontId="1" type="noConversion"/>
  </si>
  <si>
    <t>패시브</t>
    <phoneticPr fontId="1" type="noConversion"/>
  </si>
  <si>
    <t>영웅 세팅</t>
    <phoneticPr fontId="1" type="noConversion"/>
  </si>
  <si>
    <t>펫</t>
    <phoneticPr fontId="1" type="noConversion"/>
  </si>
  <si>
    <t>윈디</t>
    <phoneticPr fontId="1" type="noConversion"/>
  </si>
  <si>
    <t>잠재능력</t>
    <phoneticPr fontId="1" type="noConversion"/>
  </si>
  <si>
    <t>스킬강화</t>
    <phoneticPr fontId="1" type="noConversion"/>
  </si>
  <si>
    <t>3단계</t>
    <phoneticPr fontId="1" type="noConversion"/>
  </si>
  <si>
    <t>모든 공격력(64%)</t>
    <phoneticPr fontId="1" type="noConversion"/>
  </si>
  <si>
    <t>클로에 2스킬</t>
    <phoneticPr fontId="1" type="noConversion"/>
  </si>
  <si>
    <t>나타 1스킬</t>
    <phoneticPr fontId="1" type="noConversion"/>
  </si>
  <si>
    <t>비스킷 1스킬</t>
    <phoneticPr fontId="1" type="noConversion"/>
  </si>
  <si>
    <t>비스킷 2스킬</t>
    <phoneticPr fontId="1" type="noConversion"/>
  </si>
  <si>
    <t>리나 2스킬</t>
    <phoneticPr fontId="1" type="noConversion"/>
  </si>
  <si>
    <t>미호 1스킬</t>
    <phoneticPr fontId="1" type="noConversion"/>
  </si>
  <si>
    <t>나타 2스킬</t>
    <phoneticPr fontId="1" type="noConversion"/>
  </si>
  <si>
    <t>미호 2스킬</t>
    <phoneticPr fontId="1" type="noConversion"/>
  </si>
  <si>
    <t>라운드</t>
    <phoneticPr fontId="1" type="noConversion"/>
  </si>
  <si>
    <t>턴</t>
    <phoneticPr fontId="1" type="noConversion"/>
  </si>
  <si>
    <t>유형</t>
    <phoneticPr fontId="1" type="noConversion"/>
  </si>
  <si>
    <t>평타턴(t), 스킬턴(s), 아군(a), 적군(b)</t>
    <phoneticPr fontId="1" type="noConversion"/>
  </si>
  <si>
    <t>a-s</t>
    <phoneticPr fontId="1" type="noConversion"/>
  </si>
  <si>
    <t>a-t</t>
    <phoneticPr fontId="1" type="noConversion"/>
  </si>
  <si>
    <t>b-s</t>
    <phoneticPr fontId="1" type="noConversion"/>
  </si>
  <si>
    <t>챈슬러 1스킬</t>
    <phoneticPr fontId="1" type="noConversion"/>
  </si>
  <si>
    <t>룩 1스킬</t>
    <phoneticPr fontId="1" type="noConversion"/>
  </si>
  <si>
    <t>아일린 1스킬</t>
    <phoneticPr fontId="1" type="noConversion"/>
  </si>
  <si>
    <t>아일린</t>
    <phoneticPr fontId="1" type="noConversion"/>
  </si>
  <si>
    <t>챈슬러</t>
    <phoneticPr fontId="1" type="noConversion"/>
  </si>
  <si>
    <t>룩</t>
    <phoneticPr fontId="1" type="noConversion"/>
  </si>
  <si>
    <t>아일린 2스킬</t>
    <phoneticPr fontId="1" type="noConversion"/>
  </si>
  <si>
    <t>상대 시전 가능 스킬 없어 스킵</t>
    <phoneticPr fontId="1" type="noConversion"/>
  </si>
  <si>
    <t>b-t</t>
    <phoneticPr fontId="1" type="noConversion"/>
  </si>
  <si>
    <t>행동</t>
    <phoneticPr fontId="1" type="noConversion"/>
  </si>
  <si>
    <t>특이사항</t>
    <phoneticPr fontId="1" type="noConversion"/>
  </si>
  <si>
    <t>아군 버프[5턴]</t>
    <phoneticPr fontId="1" type="noConversion"/>
  </si>
  <si>
    <t>아군 버프[3턴]</t>
    <phoneticPr fontId="1" type="noConversion"/>
  </si>
  <si>
    <t>적군 디버프[3턴]</t>
    <phoneticPr fontId="1" type="noConversion"/>
  </si>
  <si>
    <t>아군 피해 면역[2턴]</t>
    <phoneticPr fontId="1" type="noConversion"/>
  </si>
  <si>
    <t>피해 면역으로 피해 0</t>
    <phoneticPr fontId="1" type="noConversion"/>
  </si>
  <si>
    <t>대미지</t>
    <phoneticPr fontId="1" type="noConversion"/>
  </si>
  <si>
    <t xml:space="preserve">아일린 </t>
    <phoneticPr fontId="1" type="noConversion"/>
  </si>
  <si>
    <t>아군 버프[5턴] (실수로 잘못사용함)</t>
    <phoneticPr fontId="1" type="noConversion"/>
  </si>
  <si>
    <t>챈슬러 kill</t>
    <phoneticPr fontId="1" type="noConversion"/>
  </si>
  <si>
    <t>룩 1 kill</t>
    <phoneticPr fontId="1" type="noConversion"/>
  </si>
  <si>
    <t>점수(라운드 총)</t>
    <phoneticPr fontId="1" type="noConversion"/>
  </si>
  <si>
    <t>11176 *2</t>
    <phoneticPr fontId="1" type="noConversion"/>
  </si>
  <si>
    <t>룩 1, 2 kill</t>
    <phoneticPr fontId="1" type="noConversion"/>
  </si>
  <si>
    <t>챈슬러, 룩 2 kill</t>
    <phoneticPr fontId="1" type="noConversion"/>
  </si>
  <si>
    <t>치명, 약점</t>
    <phoneticPr fontId="1" type="noConversion"/>
  </si>
  <si>
    <t xml:space="preserve">치명만 </t>
    <phoneticPr fontId="1" type="noConversion"/>
  </si>
  <si>
    <t>약점만</t>
    <phoneticPr fontId="1" type="noConversion"/>
  </si>
  <si>
    <t>x</t>
    <phoneticPr fontId="1" type="noConversion"/>
  </si>
  <si>
    <t>적군 턴제 감소(2턴)하고 피해</t>
    <phoneticPr fontId="1" type="noConversion"/>
  </si>
  <si>
    <t>dot</t>
    <phoneticPr fontId="1" type="noConversion"/>
  </si>
  <si>
    <t xml:space="preserve"> </t>
    <phoneticPr fontId="1" type="noConversion"/>
  </si>
  <si>
    <t>초월</t>
    <phoneticPr fontId="1" type="noConversion"/>
  </si>
  <si>
    <t>스킬 강화 여부</t>
    <phoneticPr fontId="1" type="noConversion"/>
  </si>
  <si>
    <t>평타</t>
    <phoneticPr fontId="1" type="noConversion"/>
  </si>
  <si>
    <t>1스킬</t>
    <phoneticPr fontId="1" type="noConversion"/>
  </si>
  <si>
    <t>2스킬</t>
    <phoneticPr fontId="1" type="noConversion"/>
  </si>
  <si>
    <t>o</t>
    <phoneticPr fontId="1" type="noConversion"/>
  </si>
  <si>
    <t>치확 18%</t>
    <phoneticPr fontId="1" type="noConversion"/>
  </si>
  <si>
    <t>공</t>
    <phoneticPr fontId="1" type="noConversion"/>
  </si>
  <si>
    <t>방</t>
    <phoneticPr fontId="1" type="noConversion"/>
  </si>
  <si>
    <t>생</t>
    <phoneticPr fontId="1" type="noConversion"/>
  </si>
  <si>
    <t>무기1</t>
    <phoneticPr fontId="1" type="noConversion"/>
  </si>
  <si>
    <t>메인옵션</t>
    <phoneticPr fontId="1" type="noConversion"/>
  </si>
  <si>
    <t>부옵션</t>
    <phoneticPr fontId="1" type="noConversion"/>
  </si>
  <si>
    <t>무기2</t>
    <phoneticPr fontId="1" type="noConversion"/>
  </si>
  <si>
    <t>세트</t>
    <phoneticPr fontId="1" type="noConversion"/>
  </si>
  <si>
    <t>복수자</t>
    <phoneticPr fontId="1" type="noConversion"/>
  </si>
  <si>
    <t>스탯</t>
    <phoneticPr fontId="1" type="noConversion"/>
  </si>
  <si>
    <t>방어력</t>
    <phoneticPr fontId="1" type="noConversion"/>
  </si>
  <si>
    <t>마법 공격력</t>
    <phoneticPr fontId="1" type="noConversion"/>
  </si>
  <si>
    <t>모든 공격력</t>
    <phoneticPr fontId="1" type="noConversion"/>
  </si>
  <si>
    <t>치명타 피해</t>
    <phoneticPr fontId="1" type="noConversion"/>
  </si>
  <si>
    <t>모든 공격력(%)</t>
    <phoneticPr fontId="1" type="noConversion"/>
  </si>
  <si>
    <t>약점공격확률</t>
    <phoneticPr fontId="1" type="noConversion"/>
  </si>
  <si>
    <t>치명타 확률</t>
    <phoneticPr fontId="1" type="noConversion"/>
  </si>
  <si>
    <t>방어력(%)</t>
    <phoneticPr fontId="1" type="noConversion"/>
  </si>
  <si>
    <t>방어구1</t>
    <phoneticPr fontId="1" type="noConversion"/>
  </si>
  <si>
    <t>방어구2</t>
    <phoneticPr fontId="1" type="noConversion"/>
  </si>
  <si>
    <t>생명력</t>
    <phoneticPr fontId="1" type="noConversion"/>
  </si>
  <si>
    <t>막기 확률</t>
    <phoneticPr fontId="1" type="noConversion"/>
  </si>
  <si>
    <t>장신구</t>
    <phoneticPr fontId="1" type="noConversion"/>
  </si>
  <si>
    <t>세공옵션</t>
    <phoneticPr fontId="1" type="noConversion"/>
  </si>
  <si>
    <t>이름</t>
    <phoneticPr fontId="1" type="noConversion"/>
  </si>
  <si>
    <t>토별의 반지</t>
    <phoneticPr fontId="1" type="noConversion"/>
  </si>
  <si>
    <t>모공(%)</t>
    <phoneticPr fontId="1" type="noConversion"/>
  </si>
  <si>
    <t>생명력(%)</t>
    <phoneticPr fontId="1" type="noConversion"/>
  </si>
  <si>
    <t>보스 대상 피해량 12% 상승</t>
    <phoneticPr fontId="1" type="noConversion"/>
  </si>
  <si>
    <t>약점공격확률 12% 상승</t>
    <phoneticPr fontId="1" type="noConversion"/>
  </si>
  <si>
    <t>전용장비</t>
    <phoneticPr fontId="1" type="noConversion"/>
  </si>
  <si>
    <t>전용</t>
    <phoneticPr fontId="1" type="noConversion"/>
  </si>
  <si>
    <t>캐릭터</t>
    <phoneticPr fontId="1" type="noConversion"/>
  </si>
  <si>
    <t>조율</t>
    <phoneticPr fontId="1" type="noConversion"/>
  </si>
  <si>
    <t>피해증폭</t>
    <phoneticPr fontId="1" type="noConversion"/>
  </si>
  <si>
    <t>모든공격력(%)</t>
    <phoneticPr fontId="1" type="noConversion"/>
  </si>
  <si>
    <t>약점공격 20%</t>
    <phoneticPr fontId="1" type="noConversion"/>
  </si>
  <si>
    <t>모공</t>
    <phoneticPr fontId="1" type="noConversion"/>
  </si>
  <si>
    <t>치명타확률</t>
    <phoneticPr fontId="1" type="noConversion"/>
  </si>
  <si>
    <t>치명타피해</t>
    <phoneticPr fontId="1" type="noConversion"/>
  </si>
  <si>
    <t>효과저항</t>
    <phoneticPr fontId="1" type="noConversion"/>
  </si>
  <si>
    <t>피해량 6% 상승</t>
    <phoneticPr fontId="1" type="noConversion"/>
  </si>
  <si>
    <t>받는피해감소 10%</t>
    <phoneticPr fontId="1" type="noConversion"/>
  </si>
  <si>
    <t>효과적중</t>
    <phoneticPr fontId="1" type="noConversion"/>
  </si>
  <si>
    <t>막기확률</t>
    <phoneticPr fontId="1" type="noConversion"/>
  </si>
  <si>
    <t>권능</t>
    <phoneticPr fontId="1" type="noConversion"/>
  </si>
  <si>
    <t>권능의 반지</t>
    <phoneticPr fontId="1" type="noConversion"/>
  </si>
  <si>
    <t>약점공격확률 10% 상승</t>
    <phoneticPr fontId="1" type="noConversion"/>
  </si>
  <si>
    <t>받는피해감소 7%</t>
    <phoneticPr fontId="1" type="noConversion"/>
  </si>
  <si>
    <t>수문장</t>
    <phoneticPr fontId="1" type="noConversion"/>
  </si>
  <si>
    <t>속공</t>
    <phoneticPr fontId="1" type="noConversion"/>
  </si>
  <si>
    <t>샐러맨더의 반지</t>
    <phoneticPr fontId="1" type="noConversion"/>
  </si>
  <si>
    <t>평타 15% 확률 2턴간 화상부여</t>
    <phoneticPr fontId="1" type="noConversion"/>
  </si>
  <si>
    <t>성기사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</si>
</sst>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3" xfId="0" applyBorder="1" applyAlignment="1">
      <alignment horizontal="center" vertical="center"/>
    </xf>
    <xf numFmtId="0" fontId="0" fillId="0" borderId="3" xfId="0" applyBorder="1">
      <alignment vertical="center"/>
    </xf>
    <xf numFmtId="0" fontId="0" fillId="0" borderId="2" xfId="0" applyBorder="1" applyAlignment="1">
      <alignment horizontal="center" vertical="center"/>
    </xf>
    <xf numFmtId="0" fontId="2" fillId="0" borderId="3" xfId="0" applyFont="1" applyBorder="1">
      <alignment vertical="center"/>
    </xf>
    <xf numFmtId="0" fontId="0" fillId="0" borderId="4" xfId="0" applyBorder="1" applyAlignment="1">
      <alignment horizontal="center" vertical="center"/>
    </xf>
    <xf numFmtId="0" fontId="0" fillId="0" borderId="4" xfId="0" applyBorder="1">
      <alignment vertical="center"/>
    </xf>
    <xf numFmtId="0" fontId="0" fillId="0" borderId="5" xfId="0" applyBorder="1" applyAlignment="1">
      <alignment horizontal="center"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9" fontId="0" fillId="0" borderId="0" xfId="0" applyNumberFormat="1" applyAlignment="1">
      <alignment vertical="center"/>
    </xf>
    <xf numFmtId="9" fontId="0" fillId="0" borderId="0" xfId="0" applyNumberFormat="1">
      <alignment vertical="center"/>
    </xf>
    <xf numFmtId="10" fontId="0" fillId="0" borderId="0" xfId="0" applyNumberFormat="1">
      <alignment vertical="center"/>
    </xf>
    <xf numFmtId="0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89163-05EC-4068-A024-A05FFC3C95E1}">
  <dimension ref="A1:V111"/>
  <sheetViews>
    <sheetView tabSelected="1" zoomScaleNormal="100" workbookViewId="0">
      <selection activeCell="D11" sqref="D11"/>
    </sheetView>
  </sheetViews>
  <sheetFormatPr defaultRowHeight="16.5"/>
  <cols>
    <col min="1" max="1" width="12.125" bestFit="1" customWidth="1"/>
    <col min="2" max="2" width="10.875" customWidth="1"/>
    <col min="3" max="3" width="17.125" bestFit="1" customWidth="1"/>
    <col min="8" max="8" width="12.75" bestFit="1" customWidth="1"/>
    <col min="9" max="9" width="29" bestFit="1" customWidth="1"/>
    <col min="11" max="11" width="7.75" bestFit="1" customWidth="1"/>
    <col min="12" max="12" width="7.125" bestFit="1" customWidth="1"/>
    <col min="13" max="13" width="5.75" customWidth="1"/>
    <col min="22" max="22" width="15.125" bestFit="1" customWidth="1"/>
  </cols>
  <sheetData>
    <row r="1" spans="1:22" ht="17.25" thickBot="1">
      <c r="A1" t="s">
        <v>0</v>
      </c>
      <c r="J1" s="24" t="s">
        <v>55</v>
      </c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</row>
    <row r="2" spans="1:22" ht="17.25" thickTop="1">
      <c r="A2" t="s">
        <v>1</v>
      </c>
      <c r="E2" s="4" t="s">
        <v>35</v>
      </c>
      <c r="F2" s="4"/>
      <c r="G2" s="4"/>
      <c r="H2" s="4"/>
      <c r="I2" s="7"/>
      <c r="J2" s="19" t="s">
        <v>56</v>
      </c>
      <c r="K2" s="20"/>
      <c r="L2" s="20"/>
      <c r="M2" s="21"/>
      <c r="N2" s="19" t="s">
        <v>43</v>
      </c>
      <c r="O2" s="20"/>
      <c r="P2" s="20"/>
      <c r="Q2" s="22"/>
      <c r="R2" s="23" t="s">
        <v>44</v>
      </c>
      <c r="S2" s="20"/>
      <c r="T2" s="20"/>
      <c r="U2" s="21"/>
      <c r="V2" s="9" t="s">
        <v>60</v>
      </c>
    </row>
    <row r="3" spans="1:22">
      <c r="C3" s="3"/>
      <c r="D3" s="3"/>
      <c r="E3" s="6" t="s">
        <v>32</v>
      </c>
      <c r="F3" s="6" t="s">
        <v>34</v>
      </c>
      <c r="G3" s="6" t="s">
        <v>33</v>
      </c>
      <c r="H3" s="6" t="s">
        <v>48</v>
      </c>
      <c r="I3" s="10" t="s">
        <v>49</v>
      </c>
      <c r="J3" s="8" t="s">
        <v>64</v>
      </c>
      <c r="K3" s="6" t="s">
        <v>65</v>
      </c>
      <c r="L3" s="6" t="s">
        <v>66</v>
      </c>
      <c r="M3" s="10" t="s">
        <v>67</v>
      </c>
      <c r="N3" s="8" t="s">
        <v>64</v>
      </c>
      <c r="O3" s="6" t="s">
        <v>65</v>
      </c>
      <c r="P3" s="6" t="s">
        <v>66</v>
      </c>
      <c r="Q3" s="12" t="s">
        <v>67</v>
      </c>
      <c r="R3" s="14" t="s">
        <v>64</v>
      </c>
      <c r="S3" s="6" t="s">
        <v>65</v>
      </c>
      <c r="T3" s="6" t="s">
        <v>66</v>
      </c>
      <c r="U3" s="10" t="s">
        <v>67</v>
      </c>
    </row>
    <row r="4" spans="1:22">
      <c r="A4" t="s">
        <v>2</v>
      </c>
      <c r="B4" t="s">
        <v>3</v>
      </c>
      <c r="E4" s="6">
        <v>1</v>
      </c>
      <c r="F4" s="6" t="s">
        <v>36</v>
      </c>
      <c r="G4" s="6">
        <v>0</v>
      </c>
      <c r="H4" s="6" t="s">
        <v>26</v>
      </c>
      <c r="I4" s="7" t="s">
        <v>50</v>
      </c>
      <c r="J4" s="9"/>
      <c r="K4" s="5"/>
      <c r="L4" s="5"/>
      <c r="M4" s="7"/>
      <c r="N4" s="9"/>
      <c r="O4" s="5"/>
      <c r="P4" s="5"/>
      <c r="Q4" s="13"/>
      <c r="R4" s="15"/>
      <c r="S4" s="5"/>
      <c r="T4" s="5"/>
      <c r="U4" s="7"/>
      <c r="V4" s="9"/>
    </row>
    <row r="5" spans="1:22">
      <c r="A5" t="s">
        <v>6</v>
      </c>
      <c r="B5" t="s">
        <v>11</v>
      </c>
      <c r="C5" s="2" t="s">
        <v>5</v>
      </c>
      <c r="E5" s="6"/>
      <c r="F5" s="6" t="s">
        <v>37</v>
      </c>
      <c r="G5" s="6">
        <v>1</v>
      </c>
      <c r="H5" s="6" t="s">
        <v>12</v>
      </c>
      <c r="I5" s="7"/>
      <c r="J5" s="9"/>
      <c r="K5" s="5"/>
      <c r="L5" s="5"/>
      <c r="M5" s="7"/>
      <c r="N5" s="9"/>
      <c r="O5" s="5"/>
      <c r="P5" s="5"/>
      <c r="Q5" s="13"/>
      <c r="R5" s="15"/>
      <c r="S5" s="5"/>
      <c r="T5" s="5"/>
      <c r="U5" s="7"/>
      <c r="V5" s="9"/>
    </row>
    <row r="6" spans="1:22">
      <c r="A6" t="s">
        <v>7</v>
      </c>
      <c r="B6" t="s">
        <v>12</v>
      </c>
      <c r="C6" s="2"/>
      <c r="E6" s="6"/>
      <c r="F6" s="6" t="s">
        <v>37</v>
      </c>
      <c r="G6" s="6">
        <v>2</v>
      </c>
      <c r="H6" s="6" t="s">
        <v>11</v>
      </c>
      <c r="I6" s="7"/>
      <c r="J6" s="9"/>
      <c r="K6" s="5"/>
      <c r="L6" s="5"/>
      <c r="M6" s="7"/>
      <c r="N6" s="9"/>
      <c r="O6" s="5"/>
      <c r="P6" s="5"/>
      <c r="Q6" s="13"/>
      <c r="R6" s="15"/>
      <c r="S6" s="5"/>
      <c r="T6" s="5"/>
      <c r="U6" s="7"/>
      <c r="V6" s="9"/>
    </row>
    <row r="7" spans="1:22">
      <c r="A7" t="s">
        <v>8</v>
      </c>
      <c r="B7" t="s">
        <v>13</v>
      </c>
      <c r="C7" s="2"/>
      <c r="E7" s="6"/>
      <c r="F7" s="6" t="s">
        <v>38</v>
      </c>
      <c r="G7" s="6">
        <v>2</v>
      </c>
      <c r="H7" s="6" t="s">
        <v>39</v>
      </c>
      <c r="I7" s="7"/>
      <c r="J7" s="9"/>
      <c r="K7" s="5"/>
      <c r="L7" s="5"/>
      <c r="M7" s="7"/>
      <c r="N7" s="9"/>
      <c r="O7" s="5"/>
      <c r="P7" s="5"/>
      <c r="Q7" s="13"/>
      <c r="R7" s="15"/>
      <c r="S7" s="5"/>
      <c r="T7" s="5"/>
      <c r="U7" s="7"/>
      <c r="V7" s="9"/>
    </row>
    <row r="8" spans="1:22">
      <c r="A8" t="s">
        <v>9</v>
      </c>
      <c r="B8" t="s">
        <v>14</v>
      </c>
      <c r="C8" s="2" t="s">
        <v>4</v>
      </c>
      <c r="E8" s="6"/>
      <c r="F8" s="6" t="s">
        <v>37</v>
      </c>
      <c r="G8" s="6">
        <v>3</v>
      </c>
      <c r="H8" s="6" t="s">
        <v>14</v>
      </c>
      <c r="I8" s="7"/>
      <c r="J8" s="9"/>
      <c r="K8" s="5"/>
      <c r="L8" s="5"/>
      <c r="M8" s="7"/>
      <c r="N8" s="9"/>
      <c r="O8" s="5"/>
      <c r="P8" s="5"/>
      <c r="Q8" s="13"/>
      <c r="R8" s="15"/>
      <c r="S8" s="5"/>
      <c r="T8" s="5"/>
      <c r="U8" s="7"/>
      <c r="V8" s="9"/>
    </row>
    <row r="9" spans="1:22">
      <c r="A9" t="s">
        <v>10</v>
      </c>
      <c r="B9" t="s">
        <v>15</v>
      </c>
      <c r="C9" s="2"/>
      <c r="E9" s="6"/>
      <c r="F9" s="6" t="s">
        <v>37</v>
      </c>
      <c r="G9" s="6">
        <v>4</v>
      </c>
      <c r="H9" s="6" t="s">
        <v>15</v>
      </c>
      <c r="I9" s="7" t="s">
        <v>59</v>
      </c>
      <c r="J9" s="9"/>
      <c r="K9" s="5"/>
      <c r="L9" s="5"/>
      <c r="M9" s="7"/>
      <c r="N9" s="11">
        <v>83385</v>
      </c>
      <c r="O9" s="5"/>
      <c r="P9" s="5"/>
      <c r="Q9" s="13"/>
      <c r="R9" s="15"/>
      <c r="S9" s="5"/>
      <c r="T9" s="5">
        <v>21747</v>
      </c>
      <c r="U9" s="7"/>
      <c r="V9" s="9"/>
    </row>
    <row r="10" spans="1:22">
      <c r="E10" s="6"/>
      <c r="F10" s="6" t="s">
        <v>36</v>
      </c>
      <c r="G10" s="6">
        <v>4</v>
      </c>
      <c r="H10" s="6" t="s">
        <v>25</v>
      </c>
      <c r="I10" s="7" t="s">
        <v>63</v>
      </c>
      <c r="J10" s="9"/>
      <c r="K10" s="5"/>
      <c r="L10" s="5"/>
      <c r="M10" s="7"/>
      <c r="N10" s="9"/>
      <c r="O10" s="5"/>
      <c r="P10" s="5"/>
      <c r="Q10" s="13"/>
      <c r="R10" s="15"/>
      <c r="S10" s="5"/>
      <c r="T10" s="5"/>
      <c r="U10" s="7"/>
      <c r="V10" s="9">
        <v>25170</v>
      </c>
    </row>
    <row r="11" spans="1:22">
      <c r="A11" t="s">
        <v>18</v>
      </c>
      <c r="B11" t="s">
        <v>21</v>
      </c>
      <c r="C11" t="s">
        <v>20</v>
      </c>
      <c r="E11" s="6">
        <v>2</v>
      </c>
      <c r="F11" s="6" t="s">
        <v>36</v>
      </c>
      <c r="G11" s="6">
        <v>4</v>
      </c>
      <c r="H11" s="6" t="s">
        <v>24</v>
      </c>
      <c r="I11" s="7" t="s">
        <v>51</v>
      </c>
      <c r="J11" s="9"/>
      <c r="K11" s="5"/>
      <c r="L11" s="5"/>
      <c r="M11" s="7"/>
      <c r="N11" s="9"/>
      <c r="O11" s="5"/>
      <c r="P11" s="5"/>
      <c r="Q11" s="13"/>
      <c r="R11" s="15"/>
      <c r="S11" s="5"/>
      <c r="T11" s="5"/>
      <c r="U11" s="7"/>
      <c r="V11" s="9"/>
    </row>
    <row r="12" spans="1:22">
      <c r="A12" t="s">
        <v>19</v>
      </c>
      <c r="B12" t="s">
        <v>22</v>
      </c>
      <c r="C12" t="s">
        <v>23</v>
      </c>
      <c r="E12" s="6"/>
      <c r="F12" s="6" t="s">
        <v>37</v>
      </c>
      <c r="G12" s="6">
        <v>5</v>
      </c>
      <c r="H12" s="6" t="s">
        <v>12</v>
      </c>
      <c r="I12" s="7"/>
      <c r="J12" s="9"/>
      <c r="K12" s="5"/>
      <c r="L12" s="5"/>
      <c r="M12" s="7"/>
      <c r="N12" s="9"/>
      <c r="O12" s="5"/>
      <c r="P12" s="5"/>
      <c r="Q12" s="13"/>
      <c r="R12" s="15"/>
      <c r="S12" s="5"/>
      <c r="T12" s="5"/>
      <c r="U12" s="7"/>
      <c r="V12" s="9"/>
    </row>
    <row r="13" spans="1:22">
      <c r="E13" s="6"/>
      <c r="F13" s="6" t="s">
        <v>37</v>
      </c>
      <c r="G13" s="6">
        <v>6</v>
      </c>
      <c r="H13" s="6" t="s">
        <v>11</v>
      </c>
      <c r="I13" s="7"/>
      <c r="J13" s="9"/>
      <c r="K13" s="5"/>
      <c r="L13" s="5"/>
      <c r="M13" s="7"/>
      <c r="N13" s="9"/>
      <c r="O13" s="5"/>
      <c r="P13" s="5"/>
      <c r="Q13" s="13"/>
      <c r="R13" s="15"/>
      <c r="S13" s="5"/>
      <c r="T13" s="5"/>
      <c r="U13" s="7"/>
      <c r="V13" s="9"/>
    </row>
    <row r="14" spans="1:22">
      <c r="E14" s="6"/>
      <c r="F14" s="6" t="s">
        <v>38</v>
      </c>
      <c r="G14" s="6">
        <v>6</v>
      </c>
      <c r="H14" s="6" t="s">
        <v>40</v>
      </c>
      <c r="I14" s="7"/>
      <c r="J14" s="9"/>
      <c r="K14" s="5"/>
      <c r="L14" s="5"/>
      <c r="M14" s="7"/>
      <c r="N14" s="9"/>
      <c r="O14" s="5"/>
      <c r="P14" s="5"/>
      <c r="Q14" s="13"/>
      <c r="R14" s="15"/>
      <c r="S14" s="5"/>
      <c r="T14" s="5"/>
      <c r="U14" s="7"/>
      <c r="V14" s="9"/>
    </row>
    <row r="15" spans="1:22">
      <c r="E15" s="6"/>
      <c r="F15" s="6" t="s">
        <v>37</v>
      </c>
      <c r="G15" s="6">
        <v>7</v>
      </c>
      <c r="H15" s="6" t="s">
        <v>14</v>
      </c>
      <c r="I15" s="7"/>
      <c r="J15" s="9"/>
      <c r="K15" s="5"/>
      <c r="L15" s="5"/>
      <c r="M15" s="7"/>
      <c r="N15" s="9"/>
      <c r="O15" s="5"/>
      <c r="P15" s="5"/>
      <c r="Q15" s="13"/>
      <c r="R15" s="15"/>
      <c r="S15" s="5"/>
      <c r="T15" s="5"/>
      <c r="U15" s="7"/>
      <c r="V15" s="9"/>
    </row>
    <row r="16" spans="1:22">
      <c r="E16" s="6"/>
      <c r="F16" s="6" t="s">
        <v>37</v>
      </c>
      <c r="G16" s="6">
        <v>8</v>
      </c>
      <c r="H16" s="6" t="s">
        <v>15</v>
      </c>
      <c r="I16" s="7" t="s">
        <v>58</v>
      </c>
      <c r="J16" s="9"/>
      <c r="K16" s="5"/>
      <c r="L16" s="5"/>
      <c r="M16" s="7"/>
      <c r="N16" s="9"/>
      <c r="O16" s="5"/>
      <c r="P16" s="5"/>
      <c r="Q16" s="13"/>
      <c r="R16" s="15"/>
      <c r="S16" s="5"/>
      <c r="T16" s="5"/>
      <c r="U16" s="7"/>
      <c r="V16" s="9"/>
    </row>
    <row r="17" spans="5:22">
      <c r="E17" s="6"/>
      <c r="F17" s="6" t="s">
        <v>36</v>
      </c>
      <c r="G17" s="6">
        <v>8</v>
      </c>
      <c r="H17" s="6" t="s">
        <v>27</v>
      </c>
      <c r="I17" s="7" t="s">
        <v>62</v>
      </c>
      <c r="J17" s="9"/>
      <c r="K17" s="5"/>
      <c r="L17" s="5"/>
      <c r="M17" s="7"/>
      <c r="N17" s="9"/>
      <c r="O17" s="5"/>
      <c r="P17" s="5"/>
      <c r="Q17" s="13"/>
      <c r="R17" s="15"/>
      <c r="S17" s="5" t="s">
        <v>61</v>
      </c>
      <c r="T17" s="5"/>
      <c r="U17" s="7"/>
      <c r="V17" s="9">
        <v>56620</v>
      </c>
    </row>
    <row r="18" spans="5:22">
      <c r="E18" s="6">
        <v>3</v>
      </c>
      <c r="F18" s="6" t="s">
        <v>36</v>
      </c>
      <c r="G18" s="6">
        <v>8</v>
      </c>
      <c r="H18" s="6" t="s">
        <v>28</v>
      </c>
      <c r="I18" s="7" t="s">
        <v>51</v>
      </c>
      <c r="J18" s="9"/>
      <c r="K18" s="5"/>
      <c r="L18" s="5"/>
      <c r="M18" s="7"/>
      <c r="N18" s="9"/>
      <c r="O18" s="5"/>
      <c r="P18" s="5"/>
      <c r="Q18" s="13"/>
      <c r="R18" s="15"/>
      <c r="S18" s="5"/>
      <c r="T18" s="5"/>
      <c r="U18" s="7"/>
    </row>
    <row r="19" spans="5:22">
      <c r="E19" s="6"/>
      <c r="F19" s="6" t="s">
        <v>37</v>
      </c>
      <c r="G19" s="6">
        <v>9</v>
      </c>
      <c r="H19" s="6" t="s">
        <v>12</v>
      </c>
      <c r="I19" s="7"/>
      <c r="J19" s="9"/>
      <c r="K19" s="5"/>
      <c r="L19" s="5"/>
      <c r="M19" s="7"/>
      <c r="N19" s="9"/>
      <c r="O19" s="5">
        <v>3225</v>
      </c>
      <c r="P19" s="5"/>
      <c r="Q19" s="13"/>
      <c r="R19" s="15"/>
      <c r="S19" s="5"/>
      <c r="T19" s="5"/>
      <c r="U19" s="7"/>
      <c r="V19" s="9"/>
    </row>
    <row r="20" spans="5:22">
      <c r="E20" s="6"/>
      <c r="F20" s="6" t="s">
        <v>37</v>
      </c>
      <c r="G20" s="6">
        <v>10</v>
      </c>
      <c r="H20" s="6" t="s">
        <v>11</v>
      </c>
      <c r="I20" s="7"/>
      <c r="J20" s="9"/>
      <c r="K20" s="5"/>
      <c r="L20" s="5"/>
      <c r="M20" s="7"/>
      <c r="N20" s="9"/>
      <c r="O20" s="5"/>
      <c r="P20" s="5"/>
      <c r="Q20" s="13"/>
      <c r="R20" s="15"/>
      <c r="S20" s="5"/>
      <c r="T20" s="5"/>
      <c r="U20" s="7">
        <v>1633</v>
      </c>
      <c r="V20" s="9"/>
    </row>
    <row r="21" spans="5:22">
      <c r="E21" s="6"/>
      <c r="F21" s="6" t="s">
        <v>38</v>
      </c>
      <c r="G21" s="6">
        <v>10</v>
      </c>
      <c r="H21" s="6" t="s">
        <v>41</v>
      </c>
      <c r="I21" s="7"/>
      <c r="J21" s="9"/>
      <c r="K21" s="5"/>
      <c r="L21" s="5"/>
      <c r="M21" s="7"/>
      <c r="N21" s="9"/>
      <c r="O21" s="5"/>
      <c r="P21" s="5"/>
      <c r="Q21" s="13"/>
      <c r="R21" s="15"/>
      <c r="S21" s="5"/>
      <c r="T21" s="5"/>
      <c r="U21" s="7"/>
      <c r="V21" s="9"/>
    </row>
    <row r="22" spans="5:22">
      <c r="E22" s="6"/>
      <c r="F22" s="6" t="s">
        <v>37</v>
      </c>
      <c r="G22" s="6">
        <v>11</v>
      </c>
      <c r="H22" s="6" t="s">
        <v>14</v>
      </c>
      <c r="I22" s="7"/>
      <c r="J22" s="9"/>
      <c r="K22" s="5"/>
      <c r="L22" s="5"/>
      <c r="M22" s="7"/>
      <c r="N22" s="9">
        <v>29243</v>
      </c>
      <c r="O22" s="5"/>
      <c r="P22" s="5"/>
      <c r="Q22" s="13"/>
      <c r="R22" s="15"/>
      <c r="S22" s="5"/>
      <c r="T22" s="5"/>
      <c r="U22" s="7"/>
      <c r="V22" s="9"/>
    </row>
    <row r="23" spans="5:22">
      <c r="E23" s="6"/>
      <c r="F23" s="6" t="s">
        <v>37</v>
      </c>
      <c r="G23" s="6">
        <v>12</v>
      </c>
      <c r="H23" s="6" t="s">
        <v>15</v>
      </c>
      <c r="I23" s="7"/>
      <c r="J23" s="9"/>
      <c r="K23" s="5"/>
      <c r="L23" s="5"/>
      <c r="M23" s="7"/>
      <c r="N23" s="9">
        <v>38786</v>
      </c>
      <c r="O23" s="5"/>
      <c r="P23" s="5"/>
      <c r="Q23" s="13"/>
      <c r="R23" s="15"/>
      <c r="S23" s="5"/>
      <c r="T23" s="5"/>
      <c r="U23" s="7"/>
      <c r="V23" s="9"/>
    </row>
    <row r="24" spans="5:22">
      <c r="E24" s="6"/>
      <c r="F24" s="6" t="s">
        <v>36</v>
      </c>
      <c r="G24" s="6">
        <v>12</v>
      </c>
      <c r="H24" s="6" t="s">
        <v>29</v>
      </c>
      <c r="I24" s="7" t="s">
        <v>52</v>
      </c>
      <c r="J24" s="9">
        <v>176349</v>
      </c>
      <c r="K24" s="5"/>
      <c r="L24" s="5"/>
      <c r="M24" s="7"/>
      <c r="N24" s="9">
        <v>170747</v>
      </c>
      <c r="O24" s="5"/>
      <c r="P24" s="5"/>
      <c r="Q24" s="13"/>
      <c r="R24" s="15">
        <v>170747</v>
      </c>
      <c r="S24" s="5"/>
      <c r="T24" s="5"/>
      <c r="U24" s="7"/>
      <c r="V24" s="9"/>
    </row>
    <row r="25" spans="5:22">
      <c r="E25" s="6"/>
      <c r="F25" s="6" t="s">
        <v>47</v>
      </c>
      <c r="G25" s="6">
        <v>13</v>
      </c>
      <c r="H25" s="6" t="s">
        <v>42</v>
      </c>
      <c r="I25" s="7"/>
      <c r="J25" s="9"/>
      <c r="K25" s="5"/>
      <c r="L25" s="5"/>
      <c r="M25" s="7"/>
      <c r="N25" s="9"/>
      <c r="O25" s="5"/>
      <c r="P25" s="5"/>
      <c r="Q25" s="13"/>
      <c r="R25" s="15"/>
      <c r="S25" s="5"/>
      <c r="T25" s="5"/>
      <c r="U25" s="7"/>
      <c r="V25" s="9"/>
    </row>
    <row r="26" spans="5:22">
      <c r="E26" s="6"/>
      <c r="F26" s="6" t="s">
        <v>47</v>
      </c>
      <c r="G26" s="6">
        <v>14</v>
      </c>
      <c r="H26" s="6" t="s">
        <v>43</v>
      </c>
      <c r="I26" s="7"/>
      <c r="J26" s="9"/>
      <c r="K26" s="5"/>
      <c r="L26" s="5"/>
      <c r="M26" s="7"/>
      <c r="N26" s="9"/>
      <c r="O26" s="5"/>
      <c r="P26" s="5"/>
      <c r="Q26" s="13"/>
      <c r="R26" s="15"/>
      <c r="S26" s="5"/>
      <c r="T26" s="5"/>
      <c r="U26" s="7"/>
      <c r="V26" s="9"/>
    </row>
    <row r="27" spans="5:22">
      <c r="E27" s="6"/>
      <c r="F27" s="6" t="s">
        <v>38</v>
      </c>
      <c r="G27" s="6">
        <v>14</v>
      </c>
      <c r="H27" s="6" t="s">
        <v>45</v>
      </c>
      <c r="I27" s="7"/>
      <c r="J27" s="9"/>
      <c r="K27" s="5"/>
      <c r="L27" s="5"/>
      <c r="M27" s="7"/>
      <c r="N27" s="9"/>
      <c r="O27" s="5"/>
      <c r="P27" s="5"/>
      <c r="Q27" s="13"/>
      <c r="R27" s="15"/>
      <c r="S27" s="5"/>
      <c r="T27" s="5"/>
      <c r="U27" s="7"/>
      <c r="V27" s="9"/>
    </row>
    <row r="28" spans="5:22">
      <c r="E28" s="6"/>
      <c r="F28" s="6" t="s">
        <v>47</v>
      </c>
      <c r="G28" s="6">
        <v>15</v>
      </c>
      <c r="H28" s="6" t="s">
        <v>44</v>
      </c>
      <c r="I28" s="7"/>
      <c r="J28" s="9"/>
      <c r="K28" s="5"/>
      <c r="L28" s="5"/>
      <c r="M28" s="7"/>
      <c r="N28" s="9"/>
      <c r="O28" s="5"/>
      <c r="P28" s="5"/>
      <c r="Q28" s="13"/>
      <c r="R28" s="15"/>
      <c r="S28" s="5"/>
      <c r="T28" s="5"/>
      <c r="U28" s="7"/>
      <c r="V28" s="9"/>
    </row>
    <row r="29" spans="5:22">
      <c r="E29" s="6"/>
      <c r="F29" s="6" t="s">
        <v>37</v>
      </c>
      <c r="G29" s="6">
        <v>16</v>
      </c>
      <c r="H29" s="6" t="s">
        <v>13</v>
      </c>
      <c r="I29" s="7"/>
      <c r="K29" s="9">
        <v>5601</v>
      </c>
      <c r="L29" s="5"/>
      <c r="M29" s="7"/>
      <c r="N29" s="9"/>
      <c r="O29" s="5"/>
      <c r="P29" s="5"/>
      <c r="Q29" s="13"/>
      <c r="R29" s="15"/>
      <c r="S29" s="5"/>
      <c r="T29" s="5"/>
      <c r="U29" s="7"/>
      <c r="V29" s="9"/>
    </row>
    <row r="30" spans="5:22">
      <c r="E30" s="6"/>
      <c r="F30" s="6" t="s">
        <v>36</v>
      </c>
      <c r="G30" s="6">
        <v>16</v>
      </c>
      <c r="H30" s="6" t="s">
        <v>30</v>
      </c>
      <c r="I30" s="7"/>
      <c r="J30" s="9">
        <v>444043</v>
      </c>
      <c r="K30" s="5"/>
      <c r="L30" s="5"/>
      <c r="M30" s="7"/>
      <c r="N30" s="9">
        <v>429938</v>
      </c>
      <c r="O30" s="5"/>
      <c r="P30" s="5"/>
      <c r="Q30" s="13"/>
      <c r="R30" s="15">
        <v>429938</v>
      </c>
      <c r="S30" s="5"/>
      <c r="T30" s="5"/>
      <c r="U30" s="7"/>
      <c r="V30" s="9"/>
    </row>
    <row r="31" spans="5:22">
      <c r="E31" s="6"/>
      <c r="F31" s="6" t="s">
        <v>37</v>
      </c>
      <c r="G31" s="6">
        <v>17</v>
      </c>
      <c r="H31" s="6" t="s">
        <v>12</v>
      </c>
      <c r="I31" s="7"/>
      <c r="J31" s="9"/>
      <c r="K31" s="5"/>
      <c r="L31" s="5"/>
      <c r="M31" s="7">
        <v>2396</v>
      </c>
      <c r="N31" s="9"/>
      <c r="O31" s="5"/>
      <c r="P31" s="5"/>
      <c r="Q31" s="13"/>
      <c r="R31" s="15"/>
      <c r="S31" s="5"/>
      <c r="T31" s="5"/>
      <c r="U31" s="7"/>
      <c r="V31" s="9"/>
    </row>
    <row r="32" spans="5:22">
      <c r="E32" s="6"/>
      <c r="F32" s="6" t="s">
        <v>37</v>
      </c>
      <c r="G32" s="6">
        <v>18</v>
      </c>
      <c r="H32" s="6" t="s">
        <v>11</v>
      </c>
      <c r="I32" s="7"/>
      <c r="J32" s="9"/>
      <c r="K32" s="5"/>
      <c r="L32" s="5"/>
      <c r="M32" s="7">
        <v>2305</v>
      </c>
      <c r="N32" s="9"/>
      <c r="O32" s="5"/>
      <c r="P32" s="5"/>
      <c r="Q32" s="13"/>
      <c r="R32" s="15"/>
      <c r="S32" s="5"/>
      <c r="T32" s="5"/>
      <c r="U32" s="7"/>
      <c r="V32" s="9"/>
    </row>
    <row r="33" spans="5:22">
      <c r="E33" s="6"/>
      <c r="F33" s="6" t="s">
        <v>38</v>
      </c>
      <c r="G33" s="6">
        <v>18</v>
      </c>
      <c r="H33" s="6" t="s">
        <v>40</v>
      </c>
      <c r="I33" s="7" t="s">
        <v>53</v>
      </c>
      <c r="J33" s="9"/>
      <c r="K33" s="5"/>
      <c r="L33" s="5"/>
      <c r="M33" s="7"/>
      <c r="N33" s="9"/>
      <c r="O33" s="5"/>
      <c r="P33" s="5"/>
      <c r="Q33" s="13"/>
      <c r="R33" s="15"/>
      <c r="S33" s="5"/>
      <c r="T33" s="5"/>
      <c r="U33" s="7"/>
      <c r="V33" s="9"/>
    </row>
    <row r="34" spans="5:22">
      <c r="E34" s="6"/>
      <c r="F34" s="6" t="s">
        <v>37</v>
      </c>
      <c r="G34" s="6">
        <v>19</v>
      </c>
      <c r="H34" s="6" t="s">
        <v>14</v>
      </c>
      <c r="I34" s="7" t="s">
        <v>54</v>
      </c>
      <c r="J34" s="9"/>
      <c r="K34" s="5"/>
      <c r="L34" s="5"/>
      <c r="M34" s="7">
        <v>0</v>
      </c>
      <c r="N34" s="9"/>
      <c r="O34" s="5"/>
      <c r="P34" s="5"/>
      <c r="Q34" s="13"/>
      <c r="R34" s="15"/>
      <c r="S34" s="5"/>
      <c r="T34" s="5"/>
      <c r="U34" s="7"/>
      <c r="V34" s="9"/>
    </row>
    <row r="35" spans="5:22">
      <c r="E35" s="6"/>
      <c r="F35" s="6" t="s">
        <v>37</v>
      </c>
      <c r="G35" s="6">
        <v>20</v>
      </c>
      <c r="H35" s="6" t="s">
        <v>15</v>
      </c>
      <c r="I35" s="7" t="s">
        <v>54</v>
      </c>
      <c r="J35" s="9"/>
      <c r="K35" s="5"/>
      <c r="L35" s="5"/>
      <c r="M35" s="7">
        <v>0</v>
      </c>
      <c r="N35" s="9"/>
      <c r="O35" s="5"/>
      <c r="P35" s="5"/>
      <c r="Q35" s="13"/>
      <c r="R35" s="15"/>
      <c r="S35" s="5"/>
      <c r="T35" s="5"/>
      <c r="U35" s="7"/>
      <c r="V35" s="9"/>
    </row>
    <row r="36" spans="5:22">
      <c r="E36" s="6"/>
      <c r="F36" s="6" t="s">
        <v>36</v>
      </c>
      <c r="G36" s="6">
        <v>20</v>
      </c>
      <c r="H36" s="6" t="s">
        <v>31</v>
      </c>
      <c r="I36" s="7" t="s">
        <v>68</v>
      </c>
      <c r="J36" s="9">
        <v>165552</v>
      </c>
      <c r="K36" s="5"/>
      <c r="L36" s="5"/>
      <c r="M36" s="7"/>
      <c r="N36" s="9">
        <v>160294</v>
      </c>
      <c r="O36" s="5"/>
      <c r="P36" s="5"/>
      <c r="Q36" s="13"/>
      <c r="R36" s="15"/>
      <c r="S36" s="5"/>
      <c r="T36" s="5">
        <v>56046</v>
      </c>
      <c r="U36" s="7"/>
      <c r="V36" s="9"/>
    </row>
    <row r="37" spans="5:22">
      <c r="E37" s="6"/>
      <c r="F37" s="6" t="s">
        <v>47</v>
      </c>
      <c r="G37" s="6">
        <v>21</v>
      </c>
      <c r="H37" s="6" t="s">
        <v>42</v>
      </c>
      <c r="I37" s="7" t="s">
        <v>69</v>
      </c>
      <c r="J37" s="9"/>
      <c r="K37" s="5"/>
      <c r="L37" s="5"/>
      <c r="M37" s="7">
        <v>2848</v>
      </c>
      <c r="N37" s="9"/>
      <c r="O37" s="5"/>
      <c r="P37" s="5"/>
      <c r="Q37" s="13"/>
      <c r="R37" s="15"/>
      <c r="S37" s="5"/>
      <c r="T37" s="5"/>
      <c r="U37" s="7"/>
      <c r="V37" s="9"/>
    </row>
    <row r="38" spans="5:22">
      <c r="E38" s="6"/>
      <c r="F38" s="6" t="s">
        <v>47</v>
      </c>
      <c r="G38" s="6">
        <v>22</v>
      </c>
      <c r="H38" s="6" t="s">
        <v>43</v>
      </c>
      <c r="I38" s="7"/>
      <c r="J38" s="9"/>
      <c r="K38" s="5"/>
      <c r="L38" s="5"/>
      <c r="M38" s="7"/>
      <c r="N38" s="9"/>
      <c r="O38" s="5"/>
      <c r="P38" s="5"/>
      <c r="Q38" s="13"/>
      <c r="R38" s="15"/>
      <c r="S38" s="5"/>
      <c r="T38" s="5"/>
      <c r="U38" s="7"/>
      <c r="V38" s="9"/>
    </row>
    <row r="39" spans="5:22">
      <c r="E39" s="6"/>
      <c r="F39" s="6" t="s">
        <v>38</v>
      </c>
      <c r="G39" s="6">
        <v>22</v>
      </c>
      <c r="H39" s="6" t="s">
        <v>41</v>
      </c>
      <c r="I39" s="7"/>
      <c r="J39" s="9"/>
      <c r="K39" s="5"/>
      <c r="L39" s="5"/>
      <c r="M39" s="7"/>
      <c r="N39" s="9"/>
      <c r="O39" s="5"/>
      <c r="P39" s="5"/>
      <c r="Q39" s="13"/>
      <c r="R39" s="15"/>
      <c r="S39" s="5"/>
      <c r="T39" s="5"/>
      <c r="U39" s="7"/>
      <c r="V39" s="9"/>
    </row>
    <row r="40" spans="5:22">
      <c r="E40" s="6"/>
      <c r="F40" s="6" t="s">
        <v>47</v>
      </c>
      <c r="G40" s="6">
        <v>23</v>
      </c>
      <c r="H40" s="6" t="s">
        <v>44</v>
      </c>
      <c r="I40" s="7"/>
      <c r="J40" s="9"/>
      <c r="K40" s="5"/>
      <c r="L40" s="5"/>
      <c r="M40" s="7"/>
      <c r="N40" s="9"/>
      <c r="O40" s="5"/>
      <c r="P40" s="5"/>
      <c r="Q40" s="13"/>
      <c r="R40" s="15"/>
      <c r="S40" s="5"/>
      <c r="T40" s="5"/>
      <c r="U40" s="7"/>
      <c r="V40" s="9"/>
    </row>
    <row r="41" spans="5:22">
      <c r="E41" s="6"/>
      <c r="F41" s="6" t="s">
        <v>37</v>
      </c>
      <c r="G41" s="6">
        <v>24</v>
      </c>
      <c r="H41" s="6" t="s">
        <v>13</v>
      </c>
      <c r="I41" s="7"/>
      <c r="J41" s="9"/>
      <c r="K41" s="5">
        <v>5601</v>
      </c>
      <c r="L41" s="5"/>
      <c r="M41" s="7"/>
      <c r="N41" s="9"/>
      <c r="O41" s="5"/>
      <c r="P41" s="5"/>
      <c r="Q41" s="13"/>
      <c r="R41" s="15"/>
      <c r="S41" s="5"/>
      <c r="T41" s="5"/>
      <c r="U41" s="7"/>
      <c r="V41" s="9"/>
    </row>
    <row r="42" spans="5:22">
      <c r="E42" s="6"/>
      <c r="F42" s="6" t="s">
        <v>36</v>
      </c>
      <c r="G42" s="6">
        <v>24</v>
      </c>
      <c r="H42" s="6" t="s">
        <v>25</v>
      </c>
      <c r="I42" s="7"/>
      <c r="J42" s="9">
        <v>254054</v>
      </c>
      <c r="K42" s="5"/>
      <c r="L42" s="5"/>
      <c r="M42" s="7"/>
      <c r="N42" s="9">
        <v>245984</v>
      </c>
      <c r="O42" s="5"/>
      <c r="P42" s="5"/>
      <c r="Q42" s="13"/>
      <c r="R42" s="15">
        <v>245984</v>
      </c>
      <c r="S42" s="5"/>
      <c r="T42" s="5"/>
      <c r="U42" s="7"/>
      <c r="V42" s="9"/>
    </row>
    <row r="43" spans="5:22">
      <c r="E43" s="6"/>
      <c r="F43" s="6" t="s">
        <v>37</v>
      </c>
      <c r="G43" s="6">
        <v>25</v>
      </c>
      <c r="H43" s="6" t="s">
        <v>12</v>
      </c>
      <c r="I43" s="7"/>
      <c r="J43" s="9"/>
      <c r="K43" s="5"/>
      <c r="L43" s="5"/>
      <c r="M43" s="7">
        <v>2041</v>
      </c>
      <c r="N43" s="9"/>
      <c r="O43" s="5"/>
      <c r="P43" s="5"/>
      <c r="Q43" s="13"/>
      <c r="R43" s="15"/>
      <c r="S43" s="5"/>
      <c r="T43" s="5"/>
      <c r="U43" s="7"/>
      <c r="V43" s="9"/>
    </row>
    <row r="44" spans="5:22">
      <c r="E44" s="6"/>
      <c r="F44" s="6" t="s">
        <v>37</v>
      </c>
      <c r="G44" s="6">
        <v>26</v>
      </c>
      <c r="H44" s="6" t="s">
        <v>11</v>
      </c>
      <c r="I44" s="7"/>
      <c r="J44" s="9"/>
      <c r="K44" s="5"/>
      <c r="L44" s="5"/>
      <c r="M44" s="7"/>
      <c r="N44" s="9"/>
      <c r="O44" s="5"/>
      <c r="P44" s="5"/>
      <c r="Q44" s="13"/>
      <c r="R44" s="15"/>
      <c r="S44" s="5"/>
      <c r="T44" s="5"/>
      <c r="U44" s="7">
        <v>1901</v>
      </c>
      <c r="V44" s="9"/>
    </row>
    <row r="45" spans="5:22">
      <c r="E45" s="6"/>
      <c r="F45" s="6" t="s">
        <v>38</v>
      </c>
      <c r="G45" s="6">
        <v>26</v>
      </c>
      <c r="H45" s="6" t="s">
        <v>39</v>
      </c>
      <c r="I45" s="7"/>
      <c r="J45" s="9"/>
      <c r="K45" s="5"/>
      <c r="L45" s="5"/>
      <c r="M45" s="7"/>
      <c r="N45" s="9"/>
      <c r="O45" s="5"/>
      <c r="P45" s="5"/>
      <c r="Q45" s="13"/>
      <c r="R45" s="15"/>
      <c r="S45" s="5"/>
      <c r="T45" s="5"/>
      <c r="U45" s="7"/>
      <c r="V45" s="9"/>
    </row>
    <row r="46" spans="5:22">
      <c r="E46" s="6"/>
      <c r="F46" s="6" t="s">
        <v>37</v>
      </c>
      <c r="G46" s="6">
        <v>27</v>
      </c>
      <c r="H46" s="6" t="s">
        <v>14</v>
      </c>
      <c r="I46" s="7"/>
      <c r="J46" s="9">
        <v>35161</v>
      </c>
      <c r="K46" s="5"/>
      <c r="L46" s="5"/>
      <c r="M46" s="7"/>
      <c r="N46" s="9"/>
      <c r="O46" s="5"/>
      <c r="P46" s="5"/>
      <c r="Q46" s="13"/>
      <c r="R46" s="15"/>
      <c r="S46" s="5"/>
      <c r="T46" s="5"/>
      <c r="U46" s="7"/>
      <c r="V46" s="9"/>
    </row>
    <row r="47" spans="5:22">
      <c r="E47" s="6"/>
      <c r="F47" s="6" t="s">
        <v>37</v>
      </c>
      <c r="G47" s="6">
        <v>28</v>
      </c>
      <c r="H47" s="6" t="s">
        <v>15</v>
      </c>
      <c r="I47" s="7"/>
      <c r="J47" s="9"/>
      <c r="K47" s="5"/>
      <c r="L47" s="5">
        <v>13716</v>
      </c>
      <c r="M47" s="7"/>
      <c r="N47" s="9"/>
      <c r="O47" s="5"/>
      <c r="P47" s="5"/>
      <c r="Q47" s="13"/>
      <c r="R47" s="15"/>
      <c r="S47" s="5"/>
      <c r="T47" s="5"/>
      <c r="U47" s="7"/>
      <c r="V47" s="9"/>
    </row>
    <row r="48" spans="5:22">
      <c r="E48" s="6"/>
      <c r="F48" s="6" t="s">
        <v>36</v>
      </c>
      <c r="G48" s="6">
        <v>28</v>
      </c>
      <c r="H48" s="6" t="s">
        <v>24</v>
      </c>
      <c r="I48" s="7" t="s">
        <v>51</v>
      </c>
      <c r="J48" s="9"/>
      <c r="K48" s="5"/>
      <c r="L48" s="5"/>
      <c r="M48" s="7"/>
      <c r="N48" s="9"/>
      <c r="O48" s="5"/>
      <c r="P48" s="5"/>
      <c r="Q48" s="13"/>
      <c r="R48" s="15"/>
      <c r="S48" s="5"/>
      <c r="T48" s="5"/>
      <c r="U48" s="7"/>
      <c r="V48" s="9"/>
    </row>
    <row r="49" spans="5:22">
      <c r="E49" s="6"/>
      <c r="F49" s="6" t="s">
        <v>47</v>
      </c>
      <c r="G49" s="6">
        <v>29</v>
      </c>
      <c r="H49" s="6" t="s">
        <v>42</v>
      </c>
      <c r="I49" s="7"/>
      <c r="J49" s="9"/>
      <c r="K49" s="5"/>
      <c r="L49" s="5"/>
      <c r="M49" s="7"/>
      <c r="N49" s="9"/>
      <c r="O49" s="5"/>
      <c r="P49" s="5"/>
      <c r="Q49" s="13"/>
      <c r="R49" s="15"/>
      <c r="S49" s="5"/>
      <c r="T49" s="5"/>
      <c r="U49" s="7"/>
      <c r="V49" s="9"/>
    </row>
    <row r="50" spans="5:22">
      <c r="E50" s="6"/>
      <c r="F50" s="6" t="s">
        <v>47</v>
      </c>
      <c r="G50" s="6">
        <v>30</v>
      </c>
      <c r="H50" s="6" t="s">
        <v>43</v>
      </c>
      <c r="I50" s="7"/>
      <c r="J50" s="9"/>
      <c r="K50" s="5"/>
      <c r="L50" s="5"/>
      <c r="M50" s="7"/>
      <c r="N50" s="9"/>
      <c r="O50" s="5"/>
      <c r="P50" s="5"/>
      <c r="Q50" s="13"/>
      <c r="R50" s="15"/>
      <c r="S50" s="5"/>
      <c r="T50" s="5"/>
      <c r="U50" s="7"/>
      <c r="V50" s="9"/>
    </row>
    <row r="51" spans="5:22">
      <c r="E51" s="6"/>
      <c r="F51" s="6" t="s">
        <v>38</v>
      </c>
      <c r="G51" s="6">
        <v>30</v>
      </c>
      <c r="H51" s="6"/>
      <c r="I51" s="7" t="s">
        <v>46</v>
      </c>
      <c r="J51" s="9"/>
      <c r="K51" s="5"/>
      <c r="L51" s="5"/>
      <c r="M51" s="7"/>
      <c r="N51" s="9"/>
      <c r="O51" s="5"/>
      <c r="P51" s="5"/>
      <c r="Q51" s="13"/>
      <c r="R51" s="15"/>
      <c r="S51" s="5"/>
      <c r="T51" s="5"/>
      <c r="U51" s="7"/>
      <c r="V51" s="9"/>
    </row>
    <row r="52" spans="5:22">
      <c r="E52" s="6"/>
      <c r="F52" s="6" t="s">
        <v>47</v>
      </c>
      <c r="G52" s="6">
        <v>31</v>
      </c>
      <c r="H52" s="6" t="s">
        <v>44</v>
      </c>
      <c r="I52" s="7"/>
      <c r="J52" s="9"/>
      <c r="K52" s="5"/>
      <c r="L52" s="5"/>
      <c r="M52" s="7"/>
      <c r="N52" s="9"/>
      <c r="O52" s="5"/>
      <c r="P52" s="5"/>
      <c r="Q52" s="13"/>
      <c r="R52" s="15"/>
      <c r="S52" s="5"/>
      <c r="T52" s="5"/>
      <c r="U52" s="7"/>
      <c r="V52" s="9"/>
    </row>
    <row r="53" spans="5:22">
      <c r="E53" s="6"/>
      <c r="F53" s="6" t="s">
        <v>37</v>
      </c>
      <c r="G53" s="6">
        <v>32</v>
      </c>
      <c r="H53" s="6" t="s">
        <v>13</v>
      </c>
      <c r="I53" s="7"/>
      <c r="J53" s="9"/>
      <c r="K53" s="5">
        <v>2470</v>
      </c>
      <c r="L53" s="5"/>
      <c r="M53" s="7"/>
      <c r="N53" s="9"/>
      <c r="O53" s="5"/>
      <c r="P53" s="5"/>
      <c r="Q53" s="13"/>
      <c r="R53" s="15"/>
      <c r="S53" s="5"/>
      <c r="T53" s="5"/>
      <c r="U53" s="7"/>
      <c r="V53" s="9"/>
    </row>
    <row r="54" spans="5:22">
      <c r="E54" s="6"/>
      <c r="F54" s="6" t="s">
        <v>36</v>
      </c>
      <c r="G54" s="6">
        <v>32</v>
      </c>
      <c r="H54" s="6" t="s">
        <v>26</v>
      </c>
      <c r="I54" s="7" t="s">
        <v>50</v>
      </c>
      <c r="J54" s="9"/>
      <c r="K54" s="5"/>
      <c r="L54" s="5"/>
      <c r="M54" s="7"/>
      <c r="N54" s="9"/>
      <c r="O54" s="5"/>
      <c r="P54" s="5"/>
      <c r="Q54" s="13"/>
      <c r="R54" s="15"/>
      <c r="S54" s="5"/>
      <c r="T54" s="5"/>
      <c r="U54" s="7"/>
      <c r="V54" s="9"/>
    </row>
    <row r="55" spans="5:22">
      <c r="E55" s="6"/>
      <c r="F55" s="6" t="s">
        <v>37</v>
      </c>
      <c r="G55" s="6">
        <v>33</v>
      </c>
      <c r="H55" s="6" t="s">
        <v>12</v>
      </c>
      <c r="I55" s="7"/>
      <c r="J55" s="9"/>
      <c r="K55" s="5">
        <v>1569</v>
      </c>
      <c r="L55" s="5"/>
      <c r="M55" s="7"/>
      <c r="N55" s="9"/>
      <c r="O55" s="5"/>
      <c r="P55" s="5"/>
      <c r="Q55" s="13"/>
      <c r="R55" s="15"/>
      <c r="S55" s="5"/>
      <c r="T55" s="5"/>
      <c r="U55" s="7"/>
      <c r="V55" s="9"/>
    </row>
    <row r="56" spans="5:22">
      <c r="E56" s="6"/>
      <c r="F56" s="6" t="s">
        <v>37</v>
      </c>
      <c r="G56" s="6">
        <v>34</v>
      </c>
      <c r="H56" s="6" t="s">
        <v>11</v>
      </c>
      <c r="I56" s="7"/>
      <c r="J56" s="9"/>
      <c r="K56" s="5"/>
      <c r="L56" s="5"/>
      <c r="M56" s="7">
        <v>794</v>
      </c>
      <c r="N56" s="9"/>
      <c r="O56" s="5"/>
      <c r="P56" s="5"/>
      <c r="Q56" s="13"/>
      <c r="R56" s="15"/>
      <c r="S56" s="5"/>
      <c r="T56" s="5"/>
      <c r="U56" s="7"/>
      <c r="V56" s="9"/>
    </row>
    <row r="57" spans="5:22">
      <c r="E57" s="6"/>
      <c r="F57" s="6" t="s">
        <v>38</v>
      </c>
      <c r="G57" s="6">
        <v>34</v>
      </c>
      <c r="H57" s="6"/>
      <c r="I57" s="7" t="s">
        <v>46</v>
      </c>
      <c r="J57" s="9"/>
      <c r="K57" s="5"/>
      <c r="L57" s="5"/>
      <c r="M57" s="7"/>
      <c r="N57" s="9"/>
      <c r="O57" s="5"/>
      <c r="P57" s="5"/>
      <c r="Q57" s="13"/>
      <c r="R57" s="15"/>
      <c r="S57" s="5"/>
      <c r="T57" s="5"/>
      <c r="U57" s="7"/>
      <c r="V57" s="9"/>
    </row>
    <row r="58" spans="5:22">
      <c r="E58" s="6"/>
      <c r="F58" s="6" t="s">
        <v>37</v>
      </c>
      <c r="G58" s="6">
        <v>35</v>
      </c>
      <c r="H58" s="6" t="s">
        <v>14</v>
      </c>
      <c r="I58" s="7"/>
      <c r="J58" s="9">
        <v>16217</v>
      </c>
      <c r="K58" s="5"/>
      <c r="L58" s="5"/>
      <c r="M58" s="7"/>
      <c r="N58" s="9"/>
      <c r="O58" s="5"/>
      <c r="P58" s="5"/>
      <c r="Q58" s="13"/>
      <c r="R58" s="15"/>
      <c r="S58" s="5"/>
      <c r="T58" s="5"/>
      <c r="U58" s="7"/>
      <c r="V58" s="9"/>
    </row>
    <row r="59" spans="5:22">
      <c r="E59" s="6"/>
      <c r="F59" s="6" t="s">
        <v>37</v>
      </c>
      <c r="G59" s="6">
        <v>36</v>
      </c>
      <c r="H59" s="6" t="s">
        <v>15</v>
      </c>
      <c r="I59" s="7"/>
      <c r="J59" s="9">
        <v>21445</v>
      </c>
      <c r="K59" s="5"/>
      <c r="L59" s="5"/>
      <c r="M59" s="7"/>
      <c r="N59" s="9"/>
      <c r="O59" s="5"/>
      <c r="P59" s="5"/>
      <c r="Q59" s="13"/>
      <c r="R59" s="15"/>
      <c r="S59" s="5"/>
      <c r="T59" s="5"/>
      <c r="U59" s="7"/>
      <c r="V59" s="9"/>
    </row>
    <row r="60" spans="5:22">
      <c r="E60" s="6"/>
      <c r="F60" s="6" t="s">
        <v>36</v>
      </c>
      <c r="G60" s="6">
        <v>36</v>
      </c>
      <c r="H60" s="6" t="s">
        <v>30</v>
      </c>
      <c r="I60" s="7"/>
      <c r="J60" s="9">
        <v>206308</v>
      </c>
      <c r="K60" s="5"/>
      <c r="L60" s="5"/>
      <c r="M60" s="7"/>
      <c r="N60" s="9">
        <v>197813</v>
      </c>
      <c r="O60" s="5"/>
      <c r="P60" s="5"/>
      <c r="Q60" s="13"/>
      <c r="R60" s="15">
        <v>197813</v>
      </c>
      <c r="S60" s="5"/>
      <c r="T60" s="5"/>
      <c r="U60" s="7"/>
      <c r="V60" s="9"/>
    </row>
    <row r="61" spans="5:22">
      <c r="E61" s="6"/>
      <c r="F61" s="6" t="s">
        <v>47</v>
      </c>
      <c r="G61" s="6">
        <v>37</v>
      </c>
      <c r="H61" s="6" t="s">
        <v>42</v>
      </c>
      <c r="I61" s="7" t="s">
        <v>69</v>
      </c>
      <c r="J61" s="9"/>
      <c r="K61" s="5"/>
      <c r="L61" s="5"/>
      <c r="M61" s="7">
        <f>1300+1192</f>
        <v>2492</v>
      </c>
      <c r="N61" s="9"/>
      <c r="O61" s="5"/>
      <c r="P61" s="5"/>
      <c r="Q61" s="13"/>
      <c r="R61" s="15"/>
      <c r="S61" s="5"/>
      <c r="T61" s="5"/>
      <c r="U61" s="7"/>
      <c r="V61" s="9"/>
    </row>
    <row r="62" spans="5:22">
      <c r="E62" s="6"/>
      <c r="F62" s="6" t="s">
        <v>47</v>
      </c>
      <c r="G62" s="6">
        <v>38</v>
      </c>
      <c r="H62" s="6" t="s">
        <v>43</v>
      </c>
      <c r="I62" s="7"/>
      <c r="J62" s="9"/>
      <c r="K62" s="5"/>
      <c r="L62" s="5"/>
      <c r="M62" s="7"/>
      <c r="N62" s="9"/>
      <c r="O62" s="5"/>
      <c r="P62" s="5"/>
      <c r="Q62" s="13"/>
      <c r="R62" s="15"/>
      <c r="S62" s="5"/>
      <c r="T62" s="5"/>
      <c r="U62" s="7"/>
      <c r="V62" s="9"/>
    </row>
    <row r="63" spans="5:22">
      <c r="E63" s="6"/>
      <c r="F63" s="6" t="s">
        <v>38</v>
      </c>
      <c r="G63" s="6">
        <v>38</v>
      </c>
      <c r="H63" s="6" t="s">
        <v>41</v>
      </c>
      <c r="I63" s="7"/>
      <c r="J63" s="9"/>
      <c r="K63" s="5"/>
      <c r="L63" s="5"/>
      <c r="M63" s="7"/>
      <c r="N63" s="9"/>
      <c r="O63" s="5"/>
      <c r="P63" s="5"/>
      <c r="Q63" s="13"/>
      <c r="R63" s="15"/>
      <c r="S63" s="5"/>
      <c r="T63" s="5"/>
      <c r="U63" s="7"/>
      <c r="V63" s="9"/>
    </row>
    <row r="64" spans="5:22">
      <c r="E64" s="6"/>
      <c r="F64" s="6" t="s">
        <v>47</v>
      </c>
      <c r="G64" s="6">
        <v>39</v>
      </c>
      <c r="H64" s="6" t="s">
        <v>44</v>
      </c>
      <c r="I64" s="7"/>
      <c r="J64" s="9"/>
      <c r="K64" s="5"/>
      <c r="L64" s="5"/>
      <c r="M64" s="7"/>
      <c r="N64" s="9"/>
      <c r="O64" s="5"/>
      <c r="P64" s="5"/>
      <c r="Q64" s="13"/>
      <c r="R64" s="15"/>
      <c r="S64" s="5"/>
      <c r="T64" s="5"/>
      <c r="U64" s="7"/>
      <c r="V64" s="9"/>
    </row>
    <row r="65" spans="5:22">
      <c r="E65" s="6"/>
      <c r="F65" s="6" t="s">
        <v>37</v>
      </c>
      <c r="G65" s="6">
        <v>40</v>
      </c>
      <c r="H65" s="6" t="s">
        <v>13</v>
      </c>
      <c r="I65" s="7"/>
      <c r="J65" s="9"/>
      <c r="K65" s="5"/>
      <c r="L65" s="5"/>
      <c r="M65" s="7"/>
      <c r="N65" s="9"/>
      <c r="O65" s="5"/>
      <c r="P65" s="5"/>
      <c r="Q65" s="13"/>
      <c r="R65" s="15"/>
      <c r="S65" s="5">
        <v>2034</v>
      </c>
      <c r="T65" s="5"/>
      <c r="U65" s="7"/>
      <c r="V65" s="9"/>
    </row>
    <row r="66" spans="5:22">
      <c r="E66" s="6"/>
      <c r="F66" s="6" t="s">
        <v>36</v>
      </c>
      <c r="G66" s="6">
        <v>40</v>
      </c>
      <c r="H66" s="6" t="s">
        <v>29</v>
      </c>
      <c r="I66" s="7" t="s">
        <v>52</v>
      </c>
      <c r="J66" s="9">
        <v>96018</v>
      </c>
      <c r="K66" s="5"/>
      <c r="L66" s="5"/>
      <c r="M66" s="7"/>
      <c r="N66" s="9">
        <v>92064</v>
      </c>
      <c r="O66" s="5"/>
      <c r="P66" s="5"/>
      <c r="Q66" s="13"/>
      <c r="R66" s="15">
        <v>92064</v>
      </c>
      <c r="S66" s="5"/>
      <c r="T66" s="5"/>
      <c r="U66" s="7"/>
      <c r="V66" s="9"/>
    </row>
    <row r="67" spans="5:22">
      <c r="E67" s="6"/>
      <c r="F67" s="6" t="s">
        <v>37</v>
      </c>
      <c r="G67" s="6">
        <v>41</v>
      </c>
      <c r="H67" s="6" t="s">
        <v>12</v>
      </c>
      <c r="I67" s="7"/>
      <c r="J67" s="9"/>
      <c r="K67" s="5"/>
      <c r="L67" s="5"/>
      <c r="M67" s="7">
        <v>1128</v>
      </c>
      <c r="N67" s="9"/>
      <c r="O67" s="5"/>
      <c r="P67" s="5"/>
      <c r="Q67" s="13"/>
      <c r="R67" s="15"/>
      <c r="S67" s="5"/>
      <c r="T67" s="5"/>
      <c r="U67" s="7"/>
      <c r="V67" s="9"/>
    </row>
    <row r="68" spans="5:22">
      <c r="E68" s="6"/>
      <c r="F68" s="6" t="s">
        <v>37</v>
      </c>
      <c r="G68" s="6">
        <v>42</v>
      </c>
      <c r="H68" s="6" t="s">
        <v>11</v>
      </c>
      <c r="I68" s="7"/>
      <c r="J68" s="9"/>
      <c r="K68" s="5">
        <v>2193</v>
      </c>
      <c r="L68" s="5"/>
      <c r="M68" s="7"/>
      <c r="N68" s="9"/>
      <c r="O68" s="5"/>
      <c r="P68" s="5"/>
      <c r="Q68" s="13"/>
      <c r="R68" s="15"/>
      <c r="S68" s="5"/>
      <c r="T68" s="5"/>
      <c r="U68" s="7"/>
      <c r="V68" s="9"/>
    </row>
    <row r="69" spans="5:22">
      <c r="E69" s="6"/>
      <c r="F69" s="6" t="s">
        <v>38</v>
      </c>
      <c r="G69" s="6">
        <v>42</v>
      </c>
      <c r="H69" s="6" t="s">
        <v>45</v>
      </c>
      <c r="I69" s="7"/>
      <c r="J69" s="9"/>
      <c r="K69" s="5"/>
      <c r="L69" s="5"/>
      <c r="M69" s="7"/>
      <c r="N69" s="9"/>
      <c r="O69" s="5"/>
      <c r="P69" s="5"/>
      <c r="Q69" s="13"/>
      <c r="R69" s="15"/>
      <c r="S69" s="5"/>
      <c r="T69" s="5"/>
      <c r="U69" s="7"/>
      <c r="V69" s="9"/>
    </row>
    <row r="70" spans="5:22">
      <c r="E70" s="6"/>
      <c r="F70" s="6" t="s">
        <v>37</v>
      </c>
      <c r="G70" s="6">
        <v>43</v>
      </c>
      <c r="H70" s="6" t="s">
        <v>14</v>
      </c>
      <c r="I70" s="7"/>
      <c r="J70" s="9">
        <v>22163</v>
      </c>
      <c r="K70" s="5"/>
      <c r="L70" s="5"/>
      <c r="M70" s="7"/>
      <c r="N70" s="9"/>
      <c r="O70" s="5"/>
      <c r="P70" s="5"/>
      <c r="Q70" s="13"/>
      <c r="R70" s="15"/>
      <c r="S70" s="5"/>
      <c r="T70" s="5"/>
      <c r="U70" s="7"/>
      <c r="V70" s="9"/>
    </row>
    <row r="71" spans="5:22">
      <c r="E71" s="6"/>
      <c r="F71" s="6" t="s">
        <v>37</v>
      </c>
      <c r="G71" s="6">
        <v>44</v>
      </c>
      <c r="H71" s="6" t="s">
        <v>15</v>
      </c>
      <c r="I71" s="7"/>
      <c r="J71" s="9">
        <v>29309</v>
      </c>
      <c r="K71" s="5"/>
      <c r="L71" s="5"/>
      <c r="M71" s="7"/>
      <c r="N71" s="9"/>
      <c r="O71" s="5"/>
      <c r="P71" s="5"/>
      <c r="Q71" s="13"/>
      <c r="R71" s="15"/>
      <c r="S71" s="5"/>
      <c r="T71" s="5"/>
      <c r="U71" s="7"/>
      <c r="V71" s="9"/>
    </row>
    <row r="72" spans="5:22">
      <c r="E72" s="6"/>
      <c r="F72" s="6" t="s">
        <v>36</v>
      </c>
      <c r="G72" s="6">
        <v>44</v>
      </c>
      <c r="H72" s="6" t="s">
        <v>28</v>
      </c>
      <c r="I72" s="7" t="s">
        <v>51</v>
      </c>
      <c r="J72" s="9"/>
      <c r="K72" s="5"/>
      <c r="L72" s="5"/>
      <c r="M72" s="7"/>
      <c r="N72" s="9"/>
      <c r="O72" s="5"/>
      <c r="P72" s="5"/>
      <c r="Q72" s="13"/>
      <c r="R72" s="15"/>
      <c r="S72" s="5"/>
      <c r="T72" s="5"/>
      <c r="U72" s="7"/>
      <c r="V72" s="9"/>
    </row>
    <row r="73" spans="5:22">
      <c r="E73" s="6"/>
      <c r="F73" s="6" t="s">
        <v>47</v>
      </c>
      <c r="G73" s="6">
        <v>45</v>
      </c>
      <c r="H73" s="6" t="s">
        <v>42</v>
      </c>
      <c r="I73" s="7" t="s">
        <v>69</v>
      </c>
      <c r="J73" s="9"/>
      <c r="K73" s="5"/>
      <c r="L73" s="5"/>
      <c r="M73" s="7">
        <f>2225+2313</f>
        <v>4538</v>
      </c>
      <c r="N73" s="9"/>
      <c r="O73" s="5"/>
      <c r="P73" s="5"/>
      <c r="Q73" s="13"/>
      <c r="R73" s="15"/>
      <c r="S73" s="5"/>
      <c r="T73" s="5"/>
      <c r="U73" s="7"/>
      <c r="V73" s="9"/>
    </row>
    <row r="74" spans="5:22">
      <c r="E74" s="6"/>
      <c r="F74" s="6" t="s">
        <v>47</v>
      </c>
      <c r="G74" s="6">
        <v>46</v>
      </c>
      <c r="H74" s="6" t="s">
        <v>43</v>
      </c>
      <c r="I74" s="7"/>
      <c r="J74" s="9" t="s">
        <v>70</v>
      </c>
      <c r="K74" s="5"/>
      <c r="L74" s="5"/>
      <c r="M74" s="7"/>
      <c r="N74" s="9"/>
      <c r="O74" s="5"/>
      <c r="P74" s="5"/>
      <c r="Q74" s="13"/>
      <c r="R74" s="15"/>
      <c r="S74" s="5"/>
      <c r="T74" s="5"/>
      <c r="U74" s="7"/>
      <c r="V74" s="9"/>
    </row>
    <row r="75" spans="5:22">
      <c r="E75" s="6"/>
      <c r="F75" s="6" t="s">
        <v>38</v>
      </c>
      <c r="G75" s="6">
        <v>46</v>
      </c>
      <c r="H75" s="6" t="s">
        <v>40</v>
      </c>
      <c r="I75" s="7" t="s">
        <v>53</v>
      </c>
      <c r="J75" s="9"/>
      <c r="K75" s="5"/>
      <c r="L75" s="5"/>
      <c r="M75" s="7"/>
      <c r="N75" s="9"/>
      <c r="O75" s="5"/>
      <c r="P75" s="5"/>
      <c r="Q75" s="13"/>
      <c r="R75" s="15"/>
      <c r="S75" s="5"/>
      <c r="T75" s="5"/>
      <c r="U75" s="7"/>
      <c r="V75" s="9"/>
    </row>
    <row r="76" spans="5:22">
      <c r="E76" s="6"/>
      <c r="F76" s="6" t="s">
        <v>47</v>
      </c>
      <c r="G76" s="6">
        <v>47</v>
      </c>
      <c r="H76" s="6" t="s">
        <v>44</v>
      </c>
      <c r="I76" s="7"/>
      <c r="J76" s="9"/>
      <c r="K76" s="5"/>
      <c r="L76" s="5"/>
      <c r="M76" s="7"/>
      <c r="N76" s="9"/>
      <c r="O76" s="5"/>
      <c r="P76" s="5"/>
      <c r="Q76" s="13"/>
      <c r="R76" s="15"/>
      <c r="S76" s="5"/>
      <c r="T76" s="5"/>
      <c r="U76" s="7"/>
      <c r="V76" s="9"/>
    </row>
    <row r="77" spans="5:22">
      <c r="E77" s="6"/>
      <c r="F77" s="6" t="s">
        <v>37</v>
      </c>
      <c r="G77" s="6">
        <v>48</v>
      </c>
      <c r="H77" s="6" t="s">
        <v>13</v>
      </c>
      <c r="I77" s="7" t="s">
        <v>54</v>
      </c>
      <c r="J77" s="9"/>
      <c r="K77" s="5"/>
      <c r="L77" s="5"/>
      <c r="M77" s="7">
        <v>0</v>
      </c>
      <c r="N77" s="9"/>
      <c r="O77" s="5"/>
      <c r="P77" s="5"/>
      <c r="Q77" s="13"/>
      <c r="R77" s="15"/>
      <c r="S77" s="5"/>
      <c r="T77" s="5"/>
      <c r="U77" s="7"/>
      <c r="V77" s="9"/>
    </row>
    <row r="78" spans="5:22">
      <c r="E78" s="6"/>
      <c r="F78" s="6" t="s">
        <v>36</v>
      </c>
      <c r="G78" s="6">
        <v>48</v>
      </c>
      <c r="H78" s="6" t="s">
        <v>31</v>
      </c>
      <c r="I78" s="7" t="s">
        <v>68</v>
      </c>
      <c r="J78" s="9">
        <v>194344</v>
      </c>
      <c r="K78" s="5"/>
      <c r="L78" s="5"/>
      <c r="M78" s="7"/>
      <c r="N78" s="9">
        <v>188171</v>
      </c>
      <c r="O78" s="5"/>
      <c r="P78" s="5"/>
      <c r="Q78" s="13"/>
      <c r="R78" s="15">
        <v>188171</v>
      </c>
      <c r="S78" s="5"/>
      <c r="T78" s="5"/>
      <c r="U78" s="7"/>
      <c r="V78" s="9"/>
    </row>
    <row r="79" spans="5:22">
      <c r="E79" s="6"/>
      <c r="F79" s="6" t="s">
        <v>37</v>
      </c>
      <c r="G79" s="6">
        <v>49</v>
      </c>
      <c r="H79" s="6" t="s">
        <v>12</v>
      </c>
      <c r="I79" s="7"/>
      <c r="J79" s="9"/>
      <c r="K79" s="5"/>
      <c r="L79" s="5"/>
      <c r="M79" s="7">
        <v>2396</v>
      </c>
      <c r="N79" s="9"/>
      <c r="O79" s="5"/>
      <c r="P79" s="5"/>
      <c r="Q79" s="13"/>
      <c r="R79" s="15"/>
      <c r="S79" s="5"/>
      <c r="T79" s="5"/>
      <c r="U79" s="7"/>
      <c r="V79" s="9"/>
    </row>
    <row r="80" spans="5:22">
      <c r="E80" s="6"/>
      <c r="F80" s="6" t="s">
        <v>37</v>
      </c>
      <c r="G80" s="6">
        <v>50</v>
      </c>
      <c r="H80" s="6" t="s">
        <v>11</v>
      </c>
      <c r="I80" s="7"/>
      <c r="J80" s="9"/>
      <c r="K80" s="5"/>
      <c r="L80" s="5"/>
      <c r="M80" s="7">
        <v>2305</v>
      </c>
      <c r="N80" s="9"/>
      <c r="O80" s="5"/>
      <c r="P80" s="5"/>
      <c r="Q80" s="13"/>
      <c r="R80" s="15"/>
      <c r="S80" s="5"/>
      <c r="T80" s="5"/>
      <c r="U80" s="7"/>
      <c r="V80" s="9"/>
    </row>
    <row r="81" spans="5:22">
      <c r="E81" s="6"/>
      <c r="F81" s="6" t="s">
        <v>38</v>
      </c>
      <c r="G81" s="6">
        <v>50</v>
      </c>
      <c r="H81" s="6" t="s">
        <v>41</v>
      </c>
      <c r="I81" s="7"/>
      <c r="J81" s="9"/>
      <c r="K81" s="5"/>
      <c r="L81" s="5"/>
      <c r="M81" s="7"/>
      <c r="N81" s="9"/>
      <c r="O81" s="5"/>
      <c r="P81" s="5"/>
      <c r="Q81" s="13"/>
      <c r="R81" s="15"/>
      <c r="S81" s="5"/>
      <c r="T81" s="5"/>
      <c r="U81" s="7"/>
      <c r="V81" s="9"/>
    </row>
    <row r="82" spans="5:22">
      <c r="E82" s="6"/>
      <c r="F82" s="6" t="s">
        <v>37</v>
      </c>
      <c r="G82" s="6">
        <v>51</v>
      </c>
      <c r="H82" s="6" t="s">
        <v>14</v>
      </c>
      <c r="I82" s="7"/>
      <c r="J82" s="9">
        <v>41276</v>
      </c>
      <c r="K82" s="5"/>
      <c r="L82" s="5"/>
      <c r="M82" s="7"/>
      <c r="N82" s="9"/>
      <c r="O82" s="5"/>
      <c r="P82" s="5"/>
      <c r="Q82" s="13"/>
      <c r="R82" s="15"/>
      <c r="S82" s="5"/>
      <c r="T82" s="5"/>
      <c r="U82" s="7"/>
      <c r="V82" s="9"/>
    </row>
    <row r="83" spans="5:22">
      <c r="E83" s="6"/>
      <c r="F83" s="6" t="s">
        <v>37</v>
      </c>
      <c r="G83" s="6">
        <v>52</v>
      </c>
      <c r="H83" s="6" t="s">
        <v>15</v>
      </c>
      <c r="I83" s="7"/>
      <c r="J83" s="9">
        <v>54746</v>
      </c>
      <c r="K83" s="5"/>
      <c r="L83" s="5"/>
      <c r="M83" s="7"/>
      <c r="N83" s="9"/>
      <c r="O83" s="5"/>
      <c r="P83" s="5"/>
      <c r="Q83" s="13"/>
      <c r="R83" s="15"/>
      <c r="S83" s="5"/>
      <c r="T83" s="5"/>
      <c r="U83" s="7"/>
      <c r="V83" s="9"/>
    </row>
    <row r="84" spans="5:22">
      <c r="E84" s="6"/>
      <c r="F84" s="6" t="s">
        <v>36</v>
      </c>
      <c r="G84" s="6">
        <v>52</v>
      </c>
      <c r="H84" s="6" t="s">
        <v>25</v>
      </c>
      <c r="I84" s="7"/>
      <c r="J84" s="9">
        <v>254054</v>
      </c>
      <c r="K84" s="5"/>
      <c r="L84" s="5"/>
      <c r="M84" s="7"/>
      <c r="N84" s="9"/>
      <c r="O84" s="5"/>
      <c r="P84" s="5">
        <v>72348</v>
      </c>
      <c r="Q84" s="13"/>
      <c r="R84" s="15">
        <v>245984</v>
      </c>
      <c r="S84" s="5"/>
      <c r="T84" s="5"/>
      <c r="U84" s="7"/>
      <c r="V84" s="9"/>
    </row>
    <row r="85" spans="5:22">
      <c r="E85" s="6"/>
      <c r="F85" s="6" t="s">
        <v>47</v>
      </c>
      <c r="G85" s="6">
        <v>53</v>
      </c>
      <c r="H85" s="6" t="s">
        <v>42</v>
      </c>
      <c r="I85" s="7" t="s">
        <v>69</v>
      </c>
      <c r="J85" s="9"/>
      <c r="K85" s="5"/>
      <c r="L85" s="5"/>
      <c r="M85" s="7">
        <v>2225</v>
      </c>
      <c r="N85" s="9"/>
      <c r="O85" s="5"/>
      <c r="P85" s="5"/>
      <c r="Q85" s="13"/>
      <c r="R85" s="15"/>
      <c r="S85" s="5"/>
      <c r="T85" s="5"/>
      <c r="U85" s="7"/>
      <c r="V85" s="9"/>
    </row>
    <row r="86" spans="5:22">
      <c r="E86" s="6"/>
      <c r="F86" s="6" t="s">
        <v>47</v>
      </c>
      <c r="G86" s="6">
        <v>54</v>
      </c>
      <c r="H86" s="6" t="s">
        <v>43</v>
      </c>
      <c r="I86" s="7"/>
      <c r="J86" s="9"/>
      <c r="K86" s="5"/>
      <c r="L86" s="5"/>
      <c r="M86" s="7"/>
      <c r="N86" s="9"/>
      <c r="O86" s="5"/>
      <c r="P86" s="5"/>
      <c r="Q86" s="13"/>
      <c r="R86" s="15"/>
      <c r="S86" s="5"/>
      <c r="T86" s="5"/>
      <c r="U86" s="7"/>
      <c r="V86" s="9"/>
    </row>
    <row r="87" spans="5:22">
      <c r="E87" s="6"/>
      <c r="F87" s="6" t="s">
        <v>38</v>
      </c>
      <c r="G87" s="6">
        <v>54</v>
      </c>
      <c r="H87" s="6" t="s">
        <v>39</v>
      </c>
      <c r="I87" s="7"/>
      <c r="J87" s="9"/>
      <c r="K87" s="5"/>
      <c r="L87" s="5"/>
      <c r="M87" s="7"/>
      <c r="N87" s="9"/>
      <c r="O87" s="5"/>
      <c r="P87" s="5"/>
      <c r="Q87" s="13"/>
      <c r="R87" s="15"/>
      <c r="S87" s="5"/>
      <c r="T87" s="5"/>
      <c r="U87" s="7"/>
      <c r="V87" s="9"/>
    </row>
    <row r="88" spans="5:22">
      <c r="E88" s="6"/>
      <c r="F88" s="6" t="s">
        <v>47</v>
      </c>
      <c r="G88" s="6">
        <v>55</v>
      </c>
      <c r="H88" s="6" t="s">
        <v>44</v>
      </c>
      <c r="I88" s="7"/>
      <c r="J88" s="9"/>
      <c r="K88" s="5"/>
      <c r="L88" s="5"/>
      <c r="M88" s="7"/>
      <c r="N88" s="9"/>
      <c r="O88" s="5"/>
      <c r="P88" s="5"/>
      <c r="Q88" s="13"/>
      <c r="R88" s="15"/>
      <c r="S88" s="5"/>
      <c r="T88" s="5"/>
      <c r="U88" s="7"/>
      <c r="V88" s="9"/>
    </row>
    <row r="89" spans="5:22">
      <c r="E89" s="6"/>
      <c r="F89" s="6" t="s">
        <v>37</v>
      </c>
      <c r="G89" s="6">
        <v>56</v>
      </c>
      <c r="H89" s="6" t="s">
        <v>13</v>
      </c>
      <c r="I89" s="7"/>
      <c r="J89" s="9"/>
      <c r="K89" s="5">
        <v>4992</v>
      </c>
      <c r="L89" s="5"/>
      <c r="M89" s="7"/>
      <c r="N89" s="9"/>
      <c r="O89" s="5"/>
      <c r="P89" s="5"/>
      <c r="Q89" s="13"/>
      <c r="R89" s="15"/>
      <c r="S89" s="5"/>
      <c r="T89" s="5"/>
      <c r="U89" s="7"/>
      <c r="V89" s="9"/>
    </row>
    <row r="90" spans="5:22">
      <c r="E90" s="6"/>
      <c r="F90" s="6" t="s">
        <v>36</v>
      </c>
      <c r="G90" s="6">
        <v>56</v>
      </c>
      <c r="H90" s="6" t="s">
        <v>24</v>
      </c>
      <c r="I90" s="7" t="s">
        <v>51</v>
      </c>
      <c r="J90" s="9"/>
      <c r="K90" s="5"/>
      <c r="L90" s="5"/>
      <c r="M90" s="7"/>
      <c r="N90" s="9"/>
      <c r="O90" s="5"/>
      <c r="P90" s="5"/>
      <c r="Q90" s="13"/>
      <c r="R90" s="15"/>
      <c r="S90" s="5"/>
      <c r="T90" s="5"/>
      <c r="U90" s="7"/>
      <c r="V90" s="9"/>
    </row>
    <row r="91" spans="5:22">
      <c r="E91" s="6"/>
      <c r="F91" s="6" t="s">
        <v>37</v>
      </c>
      <c r="G91" s="6">
        <v>57</v>
      </c>
      <c r="H91" s="6" t="s">
        <v>12</v>
      </c>
      <c r="I91" s="7"/>
      <c r="J91" s="9"/>
      <c r="K91" s="5"/>
      <c r="L91" s="5"/>
      <c r="M91" s="7"/>
      <c r="N91" s="9"/>
      <c r="O91" s="5"/>
      <c r="P91" s="5"/>
      <c r="Q91" s="13"/>
      <c r="R91" s="15"/>
      <c r="S91" s="5"/>
      <c r="T91" s="5"/>
      <c r="U91" s="7">
        <v>2320</v>
      </c>
      <c r="V91" s="9"/>
    </row>
    <row r="92" spans="5:22">
      <c r="E92" s="6"/>
      <c r="F92" s="6" t="s">
        <v>37</v>
      </c>
      <c r="G92" s="6">
        <v>58</v>
      </c>
      <c r="H92" s="6" t="s">
        <v>11</v>
      </c>
      <c r="I92" s="7"/>
      <c r="J92" s="9"/>
      <c r="K92" s="5"/>
      <c r="L92" s="5"/>
      <c r="M92" s="7"/>
      <c r="N92" s="9"/>
      <c r="O92" s="5"/>
      <c r="P92" s="5"/>
      <c r="Q92" s="13"/>
      <c r="R92" s="15"/>
      <c r="S92" s="5"/>
      <c r="T92" s="5"/>
      <c r="U92" s="7">
        <v>2231</v>
      </c>
      <c r="V92" s="9"/>
    </row>
    <row r="93" spans="5:22">
      <c r="E93" s="6"/>
      <c r="F93" s="6" t="s">
        <v>38</v>
      </c>
      <c r="G93" s="6">
        <v>58</v>
      </c>
      <c r="H93" s="6"/>
      <c r="I93" s="7" t="s">
        <v>46</v>
      </c>
      <c r="J93" s="9"/>
      <c r="K93" s="5"/>
      <c r="L93" s="5"/>
      <c r="M93" s="7"/>
      <c r="N93" s="9"/>
      <c r="O93" s="5"/>
      <c r="P93" s="5"/>
      <c r="Q93" s="13"/>
      <c r="R93" s="15"/>
      <c r="S93" s="5"/>
      <c r="T93" s="5"/>
      <c r="U93" s="7"/>
      <c r="V93" s="9"/>
    </row>
    <row r="94" spans="5:22">
      <c r="E94" s="6"/>
      <c r="F94" s="6" t="s">
        <v>37</v>
      </c>
      <c r="G94" s="6">
        <v>59</v>
      </c>
      <c r="H94" s="6" t="s">
        <v>14</v>
      </c>
      <c r="I94" s="7"/>
      <c r="J94" s="9">
        <v>41276</v>
      </c>
      <c r="K94" s="5"/>
      <c r="L94" s="5"/>
      <c r="M94" s="7"/>
      <c r="N94" s="9"/>
      <c r="O94" s="5"/>
      <c r="P94" s="5"/>
      <c r="Q94" s="13"/>
      <c r="R94" s="15"/>
      <c r="S94" s="5"/>
      <c r="T94" s="5"/>
      <c r="U94" s="7"/>
      <c r="V94" s="9"/>
    </row>
    <row r="95" spans="5:22">
      <c r="E95" s="6"/>
      <c r="F95" s="6" t="s">
        <v>37</v>
      </c>
      <c r="G95" s="6">
        <v>60</v>
      </c>
      <c r="H95" s="6" t="s">
        <v>15</v>
      </c>
      <c r="I95" s="7"/>
      <c r="J95" s="9">
        <v>54746</v>
      </c>
      <c r="K95" s="5"/>
      <c r="L95" s="5"/>
      <c r="M95" s="7"/>
      <c r="N95" s="9"/>
      <c r="O95" s="5"/>
      <c r="P95" s="5"/>
      <c r="Q95" s="13"/>
      <c r="R95" s="15"/>
      <c r="S95" s="5"/>
      <c r="T95" s="5"/>
      <c r="U95" s="7"/>
      <c r="V95" s="9"/>
    </row>
    <row r="96" spans="5:22">
      <c r="E96" s="6"/>
      <c r="F96" s="6" t="s">
        <v>36</v>
      </c>
      <c r="G96" s="6">
        <v>60</v>
      </c>
      <c r="H96" s="6" t="s">
        <v>29</v>
      </c>
      <c r="I96" s="7" t="s">
        <v>52</v>
      </c>
      <c r="J96" s="9">
        <v>176349</v>
      </c>
      <c r="K96" s="5"/>
      <c r="L96" s="5"/>
      <c r="M96" s="7"/>
      <c r="N96" s="9">
        <v>170747</v>
      </c>
      <c r="O96" s="5"/>
      <c r="P96" s="5"/>
      <c r="Q96" s="13"/>
      <c r="R96" s="15">
        <v>170747</v>
      </c>
      <c r="S96" s="5"/>
      <c r="T96" s="5"/>
      <c r="U96" s="7"/>
      <c r="V96" s="9"/>
    </row>
    <row r="97" spans="5:22">
      <c r="E97" s="6"/>
      <c r="F97" s="6" t="s">
        <v>47</v>
      </c>
      <c r="G97" s="6">
        <v>61</v>
      </c>
      <c r="H97" s="6" t="s">
        <v>42</v>
      </c>
      <c r="I97" s="7"/>
      <c r="J97" s="9"/>
      <c r="K97" s="5"/>
      <c r="L97" s="5"/>
      <c r="M97" s="7"/>
      <c r="N97" s="9"/>
      <c r="O97" s="5"/>
      <c r="P97" s="5"/>
      <c r="Q97" s="13"/>
      <c r="R97" s="15"/>
      <c r="S97" s="5"/>
      <c r="T97" s="5"/>
      <c r="U97" s="7"/>
      <c r="V97" s="9"/>
    </row>
    <row r="98" spans="5:22">
      <c r="E98" s="6"/>
      <c r="F98" s="6" t="s">
        <v>47</v>
      </c>
      <c r="G98" s="6">
        <v>62</v>
      </c>
      <c r="H98" s="6" t="s">
        <v>43</v>
      </c>
      <c r="I98" s="7"/>
      <c r="J98" s="9"/>
      <c r="K98" s="5"/>
      <c r="L98" s="5"/>
      <c r="M98" s="7"/>
      <c r="N98" s="9"/>
      <c r="O98" s="5"/>
      <c r="P98" s="5"/>
      <c r="Q98" s="13"/>
      <c r="R98" s="15"/>
      <c r="S98" s="5"/>
      <c r="T98" s="5"/>
      <c r="U98" s="7"/>
      <c r="V98" s="9"/>
    </row>
    <row r="99" spans="5:22">
      <c r="E99" s="6"/>
      <c r="F99" s="6" t="s">
        <v>38</v>
      </c>
      <c r="G99" s="6">
        <v>62</v>
      </c>
      <c r="H99" s="6"/>
      <c r="I99" s="7" t="s">
        <v>46</v>
      </c>
      <c r="J99" s="9"/>
      <c r="K99" s="5"/>
      <c r="L99" s="5"/>
      <c r="M99" s="7"/>
      <c r="N99" s="9"/>
      <c r="O99" s="5"/>
      <c r="P99" s="5"/>
      <c r="Q99" s="13"/>
      <c r="R99" s="15"/>
      <c r="S99" s="5"/>
      <c r="T99" s="5"/>
      <c r="U99" s="7"/>
      <c r="V99" s="9"/>
    </row>
    <row r="100" spans="5:22">
      <c r="E100" s="6"/>
      <c r="F100" s="6" t="s">
        <v>47</v>
      </c>
      <c r="G100" s="6">
        <v>63</v>
      </c>
      <c r="H100" s="6" t="s">
        <v>44</v>
      </c>
      <c r="I100" s="7"/>
      <c r="J100" s="9"/>
      <c r="K100" s="5"/>
      <c r="L100" s="5"/>
      <c r="M100" s="7"/>
      <c r="N100" s="9"/>
      <c r="O100" s="5"/>
      <c r="P100" s="5"/>
      <c r="Q100" s="13"/>
      <c r="R100" s="15"/>
      <c r="S100" s="5"/>
      <c r="T100" s="5"/>
      <c r="U100" s="7"/>
      <c r="V100" s="9"/>
    </row>
    <row r="101" spans="5:22">
      <c r="E101" s="6"/>
      <c r="F101" s="6" t="s">
        <v>37</v>
      </c>
      <c r="G101" s="6">
        <v>64</v>
      </c>
      <c r="H101" s="6" t="s">
        <v>13</v>
      </c>
      <c r="I101" s="7"/>
      <c r="J101" s="9"/>
      <c r="K101" s="5">
        <v>3376</v>
      </c>
      <c r="L101" s="5"/>
      <c r="M101" s="7"/>
      <c r="N101" s="9"/>
      <c r="O101" s="5"/>
      <c r="P101" s="5"/>
      <c r="Q101" s="13"/>
      <c r="R101" s="15"/>
      <c r="S101" s="5"/>
      <c r="T101" s="5"/>
      <c r="U101" s="7"/>
      <c r="V101" s="9"/>
    </row>
    <row r="102" spans="5:22">
      <c r="E102" s="6"/>
      <c r="F102" s="6" t="s">
        <v>36</v>
      </c>
      <c r="G102" s="6">
        <v>64</v>
      </c>
      <c r="H102" s="6" t="s">
        <v>30</v>
      </c>
      <c r="I102" s="7"/>
      <c r="J102" s="9">
        <v>267709</v>
      </c>
      <c r="K102" s="5"/>
      <c r="L102" s="5"/>
      <c r="M102" s="7"/>
      <c r="N102" s="9">
        <v>256685</v>
      </c>
      <c r="O102" s="5"/>
      <c r="P102" s="5"/>
      <c r="Q102" s="13"/>
      <c r="R102" s="15">
        <v>256685</v>
      </c>
      <c r="S102" s="5"/>
      <c r="T102" s="5"/>
      <c r="U102" s="7"/>
      <c r="V102" s="9"/>
    </row>
    <row r="103" spans="5:22">
      <c r="E103" s="6"/>
      <c r="F103" s="6" t="s">
        <v>37</v>
      </c>
      <c r="G103" s="6">
        <v>65</v>
      </c>
      <c r="H103" s="6" t="s">
        <v>12</v>
      </c>
      <c r="I103" s="7"/>
      <c r="J103" s="9"/>
      <c r="K103" s="5"/>
      <c r="L103" s="5"/>
      <c r="M103" s="7">
        <v>1444</v>
      </c>
      <c r="N103" s="9"/>
      <c r="O103" s="5"/>
      <c r="P103" s="5"/>
      <c r="Q103" s="13"/>
      <c r="R103" s="15"/>
      <c r="S103" s="5"/>
      <c r="T103" s="5"/>
      <c r="U103" s="7"/>
      <c r="V103" s="9"/>
    </row>
    <row r="104" spans="5:22">
      <c r="E104" s="6"/>
      <c r="F104" s="6" t="s">
        <v>37</v>
      </c>
      <c r="G104" s="6">
        <v>66</v>
      </c>
      <c r="H104" s="6" t="s">
        <v>11</v>
      </c>
      <c r="I104" s="7"/>
      <c r="J104" s="9"/>
      <c r="K104" s="5">
        <v>2807</v>
      </c>
      <c r="L104" s="5"/>
      <c r="M104" s="7"/>
      <c r="N104" s="9"/>
      <c r="O104" s="5"/>
      <c r="P104" s="5"/>
      <c r="Q104" s="13"/>
      <c r="R104" s="15"/>
      <c r="S104" s="5"/>
      <c r="T104" s="5"/>
      <c r="U104" s="7"/>
      <c r="V104" s="9"/>
    </row>
    <row r="105" spans="5:22">
      <c r="E105" s="6"/>
      <c r="F105" s="6" t="s">
        <v>38</v>
      </c>
      <c r="G105" s="6">
        <v>66</v>
      </c>
      <c r="H105" s="6" t="s">
        <v>41</v>
      </c>
      <c r="I105" s="7"/>
      <c r="J105" s="9"/>
      <c r="K105" s="5"/>
      <c r="L105" s="5"/>
      <c r="M105" s="7"/>
      <c r="N105" s="9"/>
      <c r="O105" s="5"/>
      <c r="P105" s="5"/>
      <c r="Q105" s="13"/>
      <c r="R105" s="15"/>
      <c r="S105" s="5"/>
      <c r="T105" s="5"/>
      <c r="U105" s="7"/>
      <c r="V105" s="9"/>
    </row>
    <row r="106" spans="5:22">
      <c r="E106" s="6"/>
      <c r="F106" s="6" t="s">
        <v>37</v>
      </c>
      <c r="G106" s="6">
        <v>67</v>
      </c>
      <c r="H106" s="6" t="s">
        <v>14</v>
      </c>
      <c r="I106" s="7"/>
      <c r="J106" s="9">
        <v>24885</v>
      </c>
      <c r="K106" s="5"/>
      <c r="L106" s="5"/>
      <c r="M106" s="7"/>
      <c r="N106" s="9"/>
      <c r="O106" s="5"/>
      <c r="P106" s="5"/>
      <c r="Q106" s="13"/>
      <c r="R106" s="15"/>
      <c r="S106" s="5"/>
      <c r="T106" s="5"/>
      <c r="U106" s="7"/>
      <c r="V106" s="9"/>
    </row>
    <row r="107" spans="5:22">
      <c r="E107" s="6"/>
      <c r="F107" s="6" t="s">
        <v>37</v>
      </c>
      <c r="G107" s="6">
        <v>68</v>
      </c>
      <c r="H107" s="6" t="s">
        <v>15</v>
      </c>
      <c r="I107" s="7"/>
      <c r="J107" s="9">
        <v>33006</v>
      </c>
      <c r="K107" s="5"/>
      <c r="L107" s="5"/>
      <c r="M107" s="7"/>
      <c r="N107" s="9"/>
      <c r="O107" s="5"/>
      <c r="P107" s="5"/>
      <c r="Q107" s="13"/>
      <c r="R107" s="15"/>
      <c r="S107" s="5"/>
      <c r="T107" s="5"/>
      <c r="U107" s="7"/>
      <c r="V107" s="9"/>
    </row>
    <row r="108" spans="5:22">
      <c r="E108" s="6"/>
      <c r="F108" s="6" t="s">
        <v>36</v>
      </c>
      <c r="G108" s="6">
        <v>68</v>
      </c>
      <c r="H108" s="6" t="s">
        <v>26</v>
      </c>
      <c r="I108" s="7" t="s">
        <v>57</v>
      </c>
      <c r="J108" s="9"/>
      <c r="K108" s="5"/>
      <c r="L108" s="5"/>
      <c r="M108" s="7"/>
      <c r="N108" s="9"/>
      <c r="O108" s="5"/>
      <c r="P108" s="5"/>
      <c r="Q108" s="13"/>
      <c r="R108" s="15"/>
      <c r="S108" s="5"/>
      <c r="T108" s="5"/>
      <c r="U108" s="7"/>
      <c r="V108" s="9"/>
    </row>
    <row r="109" spans="5:22">
      <c r="E109" s="6"/>
      <c r="F109" s="6" t="s">
        <v>47</v>
      </c>
      <c r="G109" s="6">
        <v>69</v>
      </c>
      <c r="H109" s="6" t="s">
        <v>42</v>
      </c>
      <c r="I109" s="7"/>
      <c r="J109" s="9"/>
      <c r="K109" s="5"/>
      <c r="L109" s="5"/>
      <c r="M109" s="7"/>
      <c r="N109" s="9"/>
      <c r="O109" s="5"/>
      <c r="P109" s="5"/>
      <c r="Q109" s="13"/>
      <c r="R109" s="15"/>
      <c r="S109" s="5"/>
      <c r="T109" s="5"/>
      <c r="U109" s="7"/>
      <c r="V109" s="9"/>
    </row>
    <row r="110" spans="5:22" ht="17.25" thickBot="1">
      <c r="E110" s="6"/>
      <c r="F110" s="6" t="s">
        <v>47</v>
      </c>
      <c r="G110" s="6">
        <v>70</v>
      </c>
      <c r="H110" s="6" t="s">
        <v>43</v>
      </c>
      <c r="I110" s="7"/>
      <c r="J110" s="16"/>
      <c r="K110" s="17"/>
      <c r="L110" s="17"/>
      <c r="M110" s="18"/>
      <c r="N110" s="16"/>
      <c r="O110" s="17"/>
      <c r="P110" s="17"/>
      <c r="Q110" s="18"/>
      <c r="R110" s="16"/>
      <c r="S110" s="17"/>
      <c r="T110" s="17"/>
      <c r="U110" s="18"/>
      <c r="V110" s="9">
        <v>6862365</v>
      </c>
    </row>
    <row r="111" spans="5:22" ht="17.25" thickTop="1"/>
  </sheetData>
  <mergeCells count="7">
    <mergeCell ref="R2:U2"/>
    <mergeCell ref="J1:U1"/>
    <mergeCell ref="C8:C9"/>
    <mergeCell ref="C5:C7"/>
    <mergeCell ref="J2:M2"/>
    <mergeCell ref="N2:Q2"/>
    <mergeCell ref="E2:H2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6A40C-2D20-423B-9779-994CA9A4A8C0}">
  <dimension ref="A1:L24"/>
  <sheetViews>
    <sheetView workbookViewId="0">
      <selection activeCell="B1" sqref="B1:L24"/>
    </sheetView>
  </sheetViews>
  <sheetFormatPr defaultRowHeight="16.5"/>
  <cols>
    <col min="2" max="2" width="25.25" customWidth="1"/>
    <col min="4" max="4" width="14.875" bestFit="1" customWidth="1"/>
    <col min="7" max="7" width="14.875" bestFit="1" customWidth="1"/>
    <col min="8" max="8" width="13.5" bestFit="1" customWidth="1"/>
    <col min="11" max="11" width="16.75" customWidth="1"/>
    <col min="12" max="12" width="7.75" customWidth="1"/>
  </cols>
  <sheetData>
    <row r="1" spans="1:12">
      <c r="A1" s="3"/>
      <c r="B1" s="1" t="s">
        <v>17</v>
      </c>
      <c r="C1" s="1"/>
      <c r="D1" s="2" t="s">
        <v>72</v>
      </c>
      <c r="E1" s="2"/>
      <c r="F1" s="2"/>
      <c r="G1" s="2"/>
      <c r="H1" s="1" t="s">
        <v>71</v>
      </c>
      <c r="I1" s="2" t="s">
        <v>20</v>
      </c>
      <c r="J1" s="2"/>
      <c r="K1" s="2"/>
    </row>
    <row r="2" spans="1:12">
      <c r="A2" s="3"/>
      <c r="B2" s="1" t="s">
        <v>15</v>
      </c>
      <c r="C2" s="1"/>
      <c r="D2" s="1" t="s">
        <v>73</v>
      </c>
      <c r="E2" s="1" t="s">
        <v>74</v>
      </c>
      <c r="F2" s="1" t="s">
        <v>75</v>
      </c>
      <c r="G2" s="1" t="s">
        <v>16</v>
      </c>
      <c r="H2" s="1">
        <v>4</v>
      </c>
      <c r="I2" s="1" t="s">
        <v>78</v>
      </c>
      <c r="J2" s="1" t="s">
        <v>79</v>
      </c>
      <c r="K2" s="1" t="s">
        <v>80</v>
      </c>
    </row>
    <row r="3" spans="1:12">
      <c r="A3" s="3"/>
      <c r="B3" s="1"/>
      <c r="C3" s="1"/>
      <c r="D3" s="1" t="s">
        <v>76</v>
      </c>
      <c r="E3" s="1" t="s">
        <v>76</v>
      </c>
      <c r="F3" s="1" t="s">
        <v>76</v>
      </c>
      <c r="G3" s="1" t="s">
        <v>76</v>
      </c>
      <c r="H3" s="1" t="s">
        <v>77</v>
      </c>
      <c r="I3" s="1">
        <v>1</v>
      </c>
      <c r="J3" s="1">
        <v>1</v>
      </c>
      <c r="K3" s="1">
        <v>1</v>
      </c>
    </row>
    <row r="4" spans="1:12">
      <c r="A4" s="3"/>
      <c r="B4" s="3"/>
      <c r="C4" s="3"/>
      <c r="D4" s="3"/>
      <c r="E4" s="3"/>
      <c r="F4" s="3"/>
      <c r="G4" s="3"/>
      <c r="H4" s="3"/>
      <c r="I4" s="3"/>
    </row>
    <row r="6" spans="1:12">
      <c r="D6" s="2" t="s">
        <v>81</v>
      </c>
      <c r="E6" s="2"/>
      <c r="G6" s="2" t="s">
        <v>84</v>
      </c>
      <c r="H6" s="2"/>
      <c r="K6" s="2" t="s">
        <v>100</v>
      </c>
      <c r="L6" s="2"/>
    </row>
    <row r="7" spans="1:12">
      <c r="C7" t="s">
        <v>85</v>
      </c>
      <c r="D7" s="2" t="s">
        <v>86</v>
      </c>
      <c r="E7" s="2"/>
      <c r="F7" t="s">
        <v>85</v>
      </c>
      <c r="G7" s="2" t="s">
        <v>86</v>
      </c>
      <c r="H7" s="2"/>
      <c r="J7" t="s">
        <v>102</v>
      </c>
      <c r="K7" s="2" t="s">
        <v>103</v>
      </c>
      <c r="L7" s="2"/>
    </row>
    <row r="8" spans="1:12">
      <c r="C8" t="s">
        <v>87</v>
      </c>
      <c r="D8" t="s">
        <v>89</v>
      </c>
      <c r="E8">
        <v>304</v>
      </c>
      <c r="F8" t="s">
        <v>87</v>
      </c>
      <c r="G8" t="s">
        <v>89</v>
      </c>
      <c r="H8">
        <v>304</v>
      </c>
      <c r="J8" t="s">
        <v>87</v>
      </c>
      <c r="K8" t="s">
        <v>113</v>
      </c>
      <c r="L8" s="26">
        <v>0.1</v>
      </c>
    </row>
    <row r="9" spans="1:12">
      <c r="K9" t="s">
        <v>95</v>
      </c>
      <c r="L9" s="26">
        <v>0.1</v>
      </c>
    </row>
    <row r="10" spans="1:12">
      <c r="C10" t="s">
        <v>82</v>
      </c>
      <c r="D10" s="3" t="s">
        <v>91</v>
      </c>
      <c r="E10" s="25">
        <v>0.36</v>
      </c>
      <c r="F10" t="s">
        <v>82</v>
      </c>
      <c r="G10" s="3" t="s">
        <v>91</v>
      </c>
      <c r="H10" s="25">
        <v>0.36</v>
      </c>
      <c r="K10" t="s">
        <v>105</v>
      </c>
      <c r="L10" s="26">
        <v>0.1</v>
      </c>
    </row>
    <row r="11" spans="1:12">
      <c r="C11" t="s">
        <v>83</v>
      </c>
      <c r="D11" t="s">
        <v>90</v>
      </c>
      <c r="E11">
        <v>100</v>
      </c>
      <c r="F11" t="s">
        <v>83</v>
      </c>
      <c r="G11" t="s">
        <v>90</v>
      </c>
      <c r="H11">
        <v>100</v>
      </c>
      <c r="J11" t="s">
        <v>82</v>
      </c>
      <c r="K11" s="2" t="s">
        <v>106</v>
      </c>
      <c r="L11" s="2"/>
    </row>
    <row r="12" spans="1:12">
      <c r="D12" t="s">
        <v>91</v>
      </c>
      <c r="E12" s="26">
        <v>0.24</v>
      </c>
      <c r="G12" t="s">
        <v>91</v>
      </c>
      <c r="H12" s="26">
        <v>0.24</v>
      </c>
      <c r="J12" t="s">
        <v>101</v>
      </c>
      <c r="K12" s="2" t="s">
        <v>107</v>
      </c>
      <c r="L12" s="2"/>
    </row>
    <row r="13" spans="1:12">
      <c r="D13" t="s">
        <v>92</v>
      </c>
      <c r="E13" s="26">
        <v>0.1</v>
      </c>
      <c r="G13" t="s">
        <v>94</v>
      </c>
      <c r="H13" s="26">
        <v>0.04</v>
      </c>
    </row>
    <row r="14" spans="1:12">
      <c r="D14" t="s">
        <v>93</v>
      </c>
      <c r="E14" s="26">
        <v>0.05</v>
      </c>
      <c r="G14" t="s">
        <v>95</v>
      </c>
      <c r="H14" s="26">
        <v>0.05</v>
      </c>
      <c r="K14" s="2" t="s">
        <v>108</v>
      </c>
      <c r="L14" s="2"/>
    </row>
    <row r="15" spans="1:12">
      <c r="J15" t="s">
        <v>109</v>
      </c>
      <c r="K15" s="2" t="s">
        <v>110</v>
      </c>
      <c r="L15" s="2"/>
    </row>
    <row r="16" spans="1:12">
      <c r="D16" s="2" t="s">
        <v>96</v>
      </c>
      <c r="E16" s="2"/>
      <c r="G16" s="2" t="s">
        <v>97</v>
      </c>
      <c r="H16" s="2"/>
      <c r="J16" t="s">
        <v>87</v>
      </c>
      <c r="K16" t="s">
        <v>89</v>
      </c>
      <c r="L16">
        <v>247</v>
      </c>
    </row>
    <row r="17" spans="3:12">
      <c r="C17" t="s">
        <v>85</v>
      </c>
      <c r="D17" s="2" t="s">
        <v>86</v>
      </c>
      <c r="E17" s="2"/>
      <c r="F17" t="s">
        <v>85</v>
      </c>
      <c r="G17" s="2" t="s">
        <v>86</v>
      </c>
      <c r="H17" s="2"/>
      <c r="J17" t="s">
        <v>111</v>
      </c>
      <c r="K17" t="s">
        <v>112</v>
      </c>
      <c r="L17" s="27">
        <v>2.4E-2</v>
      </c>
    </row>
    <row r="18" spans="3:12">
      <c r="C18" t="s">
        <v>87</v>
      </c>
      <c r="D18" t="s">
        <v>88</v>
      </c>
      <c r="E18">
        <v>189</v>
      </c>
      <c r="F18" t="s">
        <v>87</v>
      </c>
      <c r="G18" t="s">
        <v>88</v>
      </c>
      <c r="H18">
        <v>189</v>
      </c>
      <c r="K18" t="s">
        <v>113</v>
      </c>
      <c r="L18" s="26">
        <v>0.12</v>
      </c>
    </row>
    <row r="19" spans="3:12">
      <c r="D19" t="s">
        <v>98</v>
      </c>
      <c r="E19">
        <v>1079</v>
      </c>
      <c r="G19" t="s">
        <v>98</v>
      </c>
      <c r="H19">
        <v>1079</v>
      </c>
      <c r="K19" t="s">
        <v>112</v>
      </c>
      <c r="L19" s="27">
        <v>2.4E-2</v>
      </c>
    </row>
    <row r="20" spans="3:12">
      <c r="C20" t="s">
        <v>82</v>
      </c>
      <c r="D20" s="3" t="s">
        <v>92</v>
      </c>
      <c r="E20" s="25">
        <v>0.28000000000000003</v>
      </c>
      <c r="F20" t="s">
        <v>82</v>
      </c>
      <c r="G20" s="3" t="s">
        <v>92</v>
      </c>
      <c r="H20" s="25">
        <v>0.28000000000000003</v>
      </c>
      <c r="K20" t="s">
        <v>112</v>
      </c>
      <c r="L20" s="27">
        <v>2.4E-2</v>
      </c>
    </row>
    <row r="21" spans="3:12">
      <c r="C21" t="s">
        <v>83</v>
      </c>
      <c r="D21" t="s">
        <v>93</v>
      </c>
      <c r="E21" s="26">
        <v>0.2</v>
      </c>
      <c r="F21" t="s">
        <v>83</v>
      </c>
      <c r="G21" t="s">
        <v>91</v>
      </c>
      <c r="H21" s="26">
        <v>0.3</v>
      </c>
    </row>
    <row r="22" spans="3:12">
      <c r="D22" t="s">
        <v>91</v>
      </c>
      <c r="E22" s="26">
        <v>0.06</v>
      </c>
      <c r="G22" t="s">
        <v>99</v>
      </c>
      <c r="H22" s="26">
        <v>0.04</v>
      </c>
    </row>
    <row r="23" spans="3:12">
      <c r="D23" t="s">
        <v>94</v>
      </c>
      <c r="E23" s="26">
        <v>0.08</v>
      </c>
      <c r="G23" t="s">
        <v>94</v>
      </c>
      <c r="H23" s="26">
        <v>0.04</v>
      </c>
    </row>
    <row r="24" spans="3:12">
      <c r="D24" t="s">
        <v>92</v>
      </c>
      <c r="E24" s="26">
        <v>0.1</v>
      </c>
      <c r="G24" t="s">
        <v>93</v>
      </c>
      <c r="H24" s="26">
        <v>0.1</v>
      </c>
    </row>
  </sheetData>
  <mergeCells count="16">
    <mergeCell ref="K11:L11"/>
    <mergeCell ref="K12:L12"/>
    <mergeCell ref="K14:L14"/>
    <mergeCell ref="K15:L15"/>
    <mergeCell ref="G6:H6"/>
    <mergeCell ref="G7:H7"/>
    <mergeCell ref="D16:E16"/>
    <mergeCell ref="D17:E17"/>
    <mergeCell ref="G16:H16"/>
    <mergeCell ref="G17:H17"/>
    <mergeCell ref="K6:L6"/>
    <mergeCell ref="K7:L7"/>
    <mergeCell ref="D6:E6"/>
    <mergeCell ref="D7:E7"/>
    <mergeCell ref="D1:G1"/>
    <mergeCell ref="I1:K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B50B1-3A09-4EE7-BFBD-C18372E4E87A}">
  <dimension ref="A1:L24"/>
  <sheetViews>
    <sheetView workbookViewId="0">
      <selection activeCell="N19" sqref="N19"/>
    </sheetView>
  </sheetViews>
  <sheetFormatPr defaultRowHeight="16.5"/>
  <cols>
    <col min="2" max="2" width="25.25" customWidth="1"/>
    <col min="4" max="4" width="14.875" bestFit="1" customWidth="1"/>
    <col min="7" max="7" width="14.875" bestFit="1" customWidth="1"/>
    <col min="8" max="8" width="13.5" bestFit="1" customWidth="1"/>
    <col min="11" max="11" width="16.75" customWidth="1"/>
    <col min="12" max="12" width="7.75" customWidth="1"/>
  </cols>
  <sheetData>
    <row r="1" spans="1:12">
      <c r="A1" s="3"/>
      <c r="B1" s="1" t="s">
        <v>17</v>
      </c>
      <c r="C1" s="1"/>
      <c r="D1" s="2" t="s">
        <v>72</v>
      </c>
      <c r="E1" s="2"/>
      <c r="F1" s="2"/>
      <c r="G1" s="2"/>
      <c r="H1" s="1" t="s">
        <v>71</v>
      </c>
      <c r="I1" s="2" t="s">
        <v>20</v>
      </c>
      <c r="J1" s="2"/>
      <c r="K1" s="2"/>
    </row>
    <row r="2" spans="1:12">
      <c r="A2" s="3"/>
      <c r="B2" s="1" t="s">
        <v>14</v>
      </c>
      <c r="C2" s="1"/>
      <c r="D2" s="1" t="s">
        <v>73</v>
      </c>
      <c r="E2" s="1" t="s">
        <v>74</v>
      </c>
      <c r="F2" s="1" t="s">
        <v>75</v>
      </c>
      <c r="G2" s="1" t="s">
        <v>16</v>
      </c>
      <c r="H2" s="1">
        <v>9</v>
      </c>
      <c r="I2" s="1" t="s">
        <v>78</v>
      </c>
      <c r="J2" s="1" t="s">
        <v>79</v>
      </c>
      <c r="K2" s="1" t="s">
        <v>80</v>
      </c>
    </row>
    <row r="3" spans="1:12">
      <c r="A3" s="3"/>
      <c r="B3" s="1"/>
      <c r="C3" s="1"/>
      <c r="D3" s="1" t="s">
        <v>76</v>
      </c>
      <c r="E3" s="1" t="s">
        <v>76</v>
      </c>
      <c r="F3" s="1" t="s">
        <v>76</v>
      </c>
      <c r="G3" s="1" t="s">
        <v>76</v>
      </c>
      <c r="H3" s="1" t="s">
        <v>114</v>
      </c>
      <c r="I3" s="1">
        <v>3</v>
      </c>
      <c r="J3" s="1">
        <v>3</v>
      </c>
      <c r="K3" s="1">
        <v>3</v>
      </c>
    </row>
    <row r="4" spans="1:12">
      <c r="A4" s="3"/>
      <c r="B4" s="3"/>
      <c r="C4" s="3"/>
      <c r="D4" s="3"/>
      <c r="E4" s="3"/>
      <c r="F4" s="3"/>
      <c r="G4" s="3"/>
      <c r="H4" s="3"/>
      <c r="I4" s="3"/>
    </row>
    <row r="6" spans="1:12">
      <c r="D6" s="2" t="s">
        <v>81</v>
      </c>
      <c r="E6" s="2"/>
      <c r="G6" s="2" t="s">
        <v>84</v>
      </c>
      <c r="H6" s="2"/>
      <c r="K6" s="2" t="s">
        <v>100</v>
      </c>
      <c r="L6" s="2"/>
    </row>
    <row r="7" spans="1:12">
      <c r="C7" t="s">
        <v>85</v>
      </c>
      <c r="D7" s="2" t="s">
        <v>86</v>
      </c>
      <c r="E7" s="2"/>
      <c r="F7" t="s">
        <v>85</v>
      </c>
      <c r="G7" s="2" t="s">
        <v>86</v>
      </c>
      <c r="H7" s="2"/>
      <c r="J7" t="s">
        <v>102</v>
      </c>
      <c r="K7" s="2" t="s">
        <v>103</v>
      </c>
      <c r="L7" s="2"/>
    </row>
    <row r="8" spans="1:12">
      <c r="C8" t="s">
        <v>87</v>
      </c>
      <c r="D8" t="s">
        <v>89</v>
      </c>
      <c r="E8">
        <v>304</v>
      </c>
      <c r="F8" t="s">
        <v>87</v>
      </c>
      <c r="G8" t="s">
        <v>89</v>
      </c>
      <c r="H8">
        <v>304</v>
      </c>
      <c r="J8" t="s">
        <v>87</v>
      </c>
      <c r="K8" t="s">
        <v>113</v>
      </c>
      <c r="L8" s="26">
        <v>0.1</v>
      </c>
    </row>
    <row r="9" spans="1:12">
      <c r="K9" t="s">
        <v>95</v>
      </c>
      <c r="L9" s="26">
        <v>0.1</v>
      </c>
    </row>
    <row r="10" spans="1:12">
      <c r="C10" t="s">
        <v>82</v>
      </c>
      <c r="D10" s="3" t="s">
        <v>94</v>
      </c>
      <c r="E10" s="25">
        <v>0.24</v>
      </c>
      <c r="F10" t="s">
        <v>82</v>
      </c>
      <c r="G10" s="3" t="s">
        <v>91</v>
      </c>
      <c r="H10" s="25">
        <v>0.36</v>
      </c>
      <c r="K10" t="s">
        <v>105</v>
      </c>
      <c r="L10" s="26">
        <v>0.1</v>
      </c>
    </row>
    <row r="11" spans="1:12">
      <c r="C11" t="s">
        <v>83</v>
      </c>
      <c r="D11" t="s">
        <v>91</v>
      </c>
      <c r="E11" s="26">
        <v>0.3</v>
      </c>
      <c r="F11" t="s">
        <v>83</v>
      </c>
      <c r="G11" t="s">
        <v>115</v>
      </c>
      <c r="H11" s="28">
        <v>50</v>
      </c>
      <c r="J11" t="s">
        <v>82</v>
      </c>
      <c r="K11" s="2" t="s">
        <v>106</v>
      </c>
      <c r="L11" s="2"/>
    </row>
    <row r="12" spans="1:12">
      <c r="D12" t="s">
        <v>115</v>
      </c>
      <c r="E12" s="28">
        <v>50</v>
      </c>
      <c r="G12" t="s">
        <v>116</v>
      </c>
      <c r="H12" s="26">
        <v>0.2</v>
      </c>
      <c r="J12" t="s">
        <v>101</v>
      </c>
      <c r="K12" s="2" t="s">
        <v>119</v>
      </c>
      <c r="L12" s="2"/>
    </row>
    <row r="13" spans="1:12">
      <c r="D13" t="s">
        <v>92</v>
      </c>
      <c r="E13" s="26">
        <v>0.1</v>
      </c>
      <c r="G13" t="s">
        <v>117</v>
      </c>
      <c r="H13" s="26">
        <v>0.06</v>
      </c>
    </row>
    <row r="14" spans="1:12">
      <c r="D14" t="s">
        <v>116</v>
      </c>
      <c r="E14" s="26">
        <v>0.04</v>
      </c>
      <c r="G14" t="s">
        <v>104</v>
      </c>
      <c r="H14" s="26">
        <v>0.1</v>
      </c>
      <c r="K14" s="2" t="s">
        <v>108</v>
      </c>
      <c r="L14" s="2"/>
    </row>
    <row r="15" spans="1:12">
      <c r="J15" t="s">
        <v>109</v>
      </c>
      <c r="K15" s="2"/>
      <c r="L15" s="2"/>
    </row>
    <row r="16" spans="1:12">
      <c r="D16" s="2" t="s">
        <v>96</v>
      </c>
      <c r="E16" s="2"/>
      <c r="G16" s="2" t="s">
        <v>97</v>
      </c>
      <c r="H16" s="2"/>
      <c r="J16" t="s">
        <v>87</v>
      </c>
    </row>
    <row r="17" spans="3:12">
      <c r="C17" t="s">
        <v>85</v>
      </c>
      <c r="D17" s="2" t="s">
        <v>86</v>
      </c>
      <c r="E17" s="2"/>
      <c r="F17" t="s">
        <v>85</v>
      </c>
      <c r="G17" s="2" t="s">
        <v>86</v>
      </c>
      <c r="H17" s="2"/>
      <c r="J17" t="s">
        <v>111</v>
      </c>
      <c r="L17" s="27"/>
    </row>
    <row r="18" spans="3:12">
      <c r="C18" t="s">
        <v>87</v>
      </c>
      <c r="D18" t="s">
        <v>88</v>
      </c>
      <c r="E18">
        <v>189</v>
      </c>
      <c r="F18" t="s">
        <v>87</v>
      </c>
      <c r="G18" t="s">
        <v>88</v>
      </c>
      <c r="H18">
        <v>189</v>
      </c>
      <c r="L18" s="26"/>
    </row>
    <row r="19" spans="3:12">
      <c r="D19" t="s">
        <v>98</v>
      </c>
      <c r="E19">
        <v>1079</v>
      </c>
      <c r="G19" t="s">
        <v>98</v>
      </c>
      <c r="H19">
        <v>1079</v>
      </c>
      <c r="L19" s="27"/>
    </row>
    <row r="20" spans="3:12">
      <c r="C20" t="s">
        <v>82</v>
      </c>
      <c r="D20" s="3" t="s">
        <v>92</v>
      </c>
      <c r="E20" s="25">
        <v>0.28000000000000003</v>
      </c>
      <c r="F20" t="s">
        <v>82</v>
      </c>
      <c r="G20" s="3" t="s">
        <v>92</v>
      </c>
      <c r="H20" s="25">
        <v>0.28000000000000003</v>
      </c>
      <c r="L20" s="27"/>
    </row>
    <row r="21" spans="3:12">
      <c r="C21" t="s">
        <v>83</v>
      </c>
      <c r="D21" t="s">
        <v>94</v>
      </c>
      <c r="E21" s="26">
        <v>0.16</v>
      </c>
      <c r="F21" t="s">
        <v>83</v>
      </c>
      <c r="G21" t="s">
        <v>95</v>
      </c>
      <c r="H21" s="26">
        <v>0.05</v>
      </c>
    </row>
    <row r="22" spans="3:12">
      <c r="D22" t="s">
        <v>91</v>
      </c>
      <c r="E22" s="26">
        <v>0.06</v>
      </c>
      <c r="G22" t="s">
        <v>93</v>
      </c>
      <c r="H22" s="26">
        <v>0.15</v>
      </c>
    </row>
    <row r="23" spans="3:12">
      <c r="D23" t="s">
        <v>93</v>
      </c>
      <c r="E23" s="26">
        <v>0.1</v>
      </c>
      <c r="G23" t="s">
        <v>94</v>
      </c>
      <c r="H23" s="26">
        <v>0.04</v>
      </c>
    </row>
    <row r="24" spans="3:12">
      <c r="D24" t="s">
        <v>118</v>
      </c>
      <c r="E24" s="26">
        <v>0.05</v>
      </c>
      <c r="G24" t="s">
        <v>117</v>
      </c>
      <c r="H24" s="26">
        <v>0.24</v>
      </c>
    </row>
  </sheetData>
  <mergeCells count="16">
    <mergeCell ref="D17:E17"/>
    <mergeCell ref="G17:H17"/>
    <mergeCell ref="K11:L11"/>
    <mergeCell ref="K12:L12"/>
    <mergeCell ref="K14:L14"/>
    <mergeCell ref="K15:L15"/>
    <mergeCell ref="D16:E16"/>
    <mergeCell ref="G16:H16"/>
    <mergeCell ref="D1:G1"/>
    <mergeCell ref="I1:K1"/>
    <mergeCell ref="D6:E6"/>
    <mergeCell ref="G6:H6"/>
    <mergeCell ref="K6:L6"/>
    <mergeCell ref="D7:E7"/>
    <mergeCell ref="G7:H7"/>
    <mergeCell ref="K7:L7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412AD-7C78-4F25-A13E-C081A2354975}">
  <dimension ref="A1:L24"/>
  <sheetViews>
    <sheetView workbookViewId="0">
      <selection activeCell="L16" sqref="L16"/>
    </sheetView>
  </sheetViews>
  <sheetFormatPr defaultRowHeight="16.5"/>
  <cols>
    <col min="2" max="2" width="25.25" customWidth="1"/>
    <col min="4" max="4" width="14.875" bestFit="1" customWidth="1"/>
    <col min="7" max="7" width="14.875" bestFit="1" customWidth="1"/>
    <col min="8" max="8" width="17.75" bestFit="1" customWidth="1"/>
    <col min="11" max="11" width="16.75" customWidth="1"/>
    <col min="12" max="12" width="7.75" customWidth="1"/>
  </cols>
  <sheetData>
    <row r="1" spans="1:12">
      <c r="A1" s="3"/>
      <c r="B1" s="1" t="s">
        <v>17</v>
      </c>
      <c r="C1" s="1"/>
      <c r="D1" s="2" t="s">
        <v>72</v>
      </c>
      <c r="E1" s="2"/>
      <c r="F1" s="2"/>
      <c r="G1" s="2"/>
      <c r="H1" s="1" t="s">
        <v>71</v>
      </c>
      <c r="I1" s="2" t="s">
        <v>20</v>
      </c>
      <c r="J1" s="2"/>
      <c r="K1" s="2"/>
    </row>
    <row r="2" spans="1:12">
      <c r="A2" s="3"/>
      <c r="B2" s="1" t="s">
        <v>13</v>
      </c>
      <c r="C2" s="1"/>
      <c r="D2" s="1" t="s">
        <v>73</v>
      </c>
      <c r="E2" s="1" t="s">
        <v>74</v>
      </c>
      <c r="F2" s="1" t="s">
        <v>75</v>
      </c>
      <c r="G2" s="1" t="s">
        <v>16</v>
      </c>
      <c r="H2" s="1">
        <v>9</v>
      </c>
      <c r="I2" s="1" t="s">
        <v>78</v>
      </c>
      <c r="J2" s="1" t="s">
        <v>79</v>
      </c>
      <c r="K2" s="1" t="s">
        <v>80</v>
      </c>
    </row>
    <row r="3" spans="1:12">
      <c r="A3" s="3"/>
      <c r="B3" s="1"/>
      <c r="C3" s="1"/>
      <c r="D3" s="1" t="s">
        <v>76</v>
      </c>
      <c r="E3" s="1" t="s">
        <v>76</v>
      </c>
      <c r="F3" s="1" t="s">
        <v>76</v>
      </c>
      <c r="G3" s="1" t="s">
        <v>76</v>
      </c>
      <c r="H3" s="1" t="s">
        <v>120</v>
      </c>
      <c r="I3" s="1">
        <v>0</v>
      </c>
      <c r="J3" s="1">
        <v>0</v>
      </c>
      <c r="K3" s="1">
        <v>0</v>
      </c>
    </row>
    <row r="4" spans="1:12">
      <c r="A4" s="3"/>
      <c r="B4" s="3"/>
      <c r="C4" s="3"/>
      <c r="D4" s="3"/>
      <c r="E4" s="3"/>
      <c r="F4" s="3"/>
      <c r="G4" s="3"/>
      <c r="H4" s="3"/>
      <c r="I4" s="3"/>
    </row>
    <row r="6" spans="1:12">
      <c r="D6" s="2" t="s">
        <v>81</v>
      </c>
      <c r="E6" s="2"/>
      <c r="G6" s="2" t="s">
        <v>84</v>
      </c>
      <c r="H6" s="2"/>
      <c r="K6" s="2" t="s">
        <v>100</v>
      </c>
      <c r="L6" s="2"/>
    </row>
    <row r="7" spans="1:12">
      <c r="C7" t="s">
        <v>85</v>
      </c>
      <c r="D7" s="2" t="s">
        <v>86</v>
      </c>
      <c r="E7" s="2"/>
      <c r="F7" t="s">
        <v>85</v>
      </c>
      <c r="G7" s="2" t="s">
        <v>86</v>
      </c>
      <c r="H7" s="2"/>
      <c r="J7" t="s">
        <v>102</v>
      </c>
      <c r="K7" s="2" t="s">
        <v>124</v>
      </c>
      <c r="L7" s="2"/>
    </row>
    <row r="8" spans="1:12">
      <c r="C8" t="s">
        <v>87</v>
      </c>
      <c r="D8" t="s">
        <v>89</v>
      </c>
      <c r="E8">
        <v>304</v>
      </c>
      <c r="F8" t="s">
        <v>87</v>
      </c>
      <c r="G8" t="s">
        <v>89</v>
      </c>
      <c r="H8">
        <v>304</v>
      </c>
      <c r="J8" t="s">
        <v>87</v>
      </c>
      <c r="K8" t="s">
        <v>113</v>
      </c>
      <c r="L8" s="26">
        <v>0.1</v>
      </c>
    </row>
    <row r="9" spans="1:12">
      <c r="K9" t="s">
        <v>95</v>
      </c>
      <c r="L9" s="26">
        <v>0.1</v>
      </c>
    </row>
    <row r="10" spans="1:12">
      <c r="C10" t="s">
        <v>82</v>
      </c>
      <c r="D10" s="3" t="s">
        <v>94</v>
      </c>
      <c r="E10" s="25">
        <v>0.24</v>
      </c>
      <c r="F10" t="s">
        <v>82</v>
      </c>
      <c r="G10" s="3" t="s">
        <v>94</v>
      </c>
      <c r="H10" s="25">
        <v>0.24</v>
      </c>
      <c r="K10" t="s">
        <v>105</v>
      </c>
      <c r="L10" s="26">
        <v>0.1</v>
      </c>
    </row>
    <row r="11" spans="1:12">
      <c r="C11" t="s">
        <v>83</v>
      </c>
      <c r="D11" t="s">
        <v>116</v>
      </c>
      <c r="E11" s="26">
        <v>0.08</v>
      </c>
      <c r="F11" t="s">
        <v>83</v>
      </c>
      <c r="G11" t="s">
        <v>115</v>
      </c>
      <c r="H11" s="28">
        <v>100</v>
      </c>
      <c r="J11" t="s">
        <v>82</v>
      </c>
      <c r="K11" s="2" t="s">
        <v>123</v>
      </c>
      <c r="L11" s="2"/>
    </row>
    <row r="12" spans="1:12">
      <c r="D12" t="s">
        <v>93</v>
      </c>
      <c r="E12" s="26">
        <v>0.1</v>
      </c>
      <c r="G12" t="s">
        <v>116</v>
      </c>
      <c r="H12" s="26">
        <v>0.16</v>
      </c>
      <c r="J12" t="s">
        <v>101</v>
      </c>
      <c r="K12" s="2" t="s">
        <v>125</v>
      </c>
      <c r="L12" s="2"/>
    </row>
    <row r="13" spans="1:12">
      <c r="D13" t="s">
        <v>92</v>
      </c>
      <c r="E13" s="26">
        <v>0.15</v>
      </c>
      <c r="G13" t="s">
        <v>117</v>
      </c>
      <c r="H13" s="26">
        <v>0.06</v>
      </c>
    </row>
    <row r="14" spans="1:12">
      <c r="D14" t="s">
        <v>105</v>
      </c>
      <c r="E14" s="26">
        <v>0.05</v>
      </c>
      <c r="G14" t="s">
        <v>104</v>
      </c>
      <c r="H14" s="26">
        <v>0.1</v>
      </c>
      <c r="K14" s="2" t="s">
        <v>108</v>
      </c>
      <c r="L14" s="2"/>
    </row>
    <row r="15" spans="1:12">
      <c r="J15" t="s">
        <v>109</v>
      </c>
      <c r="K15" s="2"/>
      <c r="L15" s="2"/>
    </row>
    <row r="16" spans="1:12">
      <c r="D16" s="2" t="s">
        <v>96</v>
      </c>
      <c r="E16" s="2"/>
      <c r="G16" s="2" t="s">
        <v>97</v>
      </c>
      <c r="H16" s="2"/>
      <c r="J16" t="s">
        <v>87</v>
      </c>
    </row>
    <row r="17" spans="3:12">
      <c r="C17" t="s">
        <v>85</v>
      </c>
      <c r="D17" s="2" t="s">
        <v>86</v>
      </c>
      <c r="E17" s="2"/>
      <c r="F17" t="s">
        <v>85</v>
      </c>
      <c r="G17" s="2" t="s">
        <v>86</v>
      </c>
      <c r="H17" s="2"/>
      <c r="J17" t="s">
        <v>111</v>
      </c>
      <c r="L17" s="27"/>
    </row>
    <row r="18" spans="3:12">
      <c r="C18" t="s">
        <v>87</v>
      </c>
      <c r="D18" t="s">
        <v>88</v>
      </c>
      <c r="E18">
        <v>189</v>
      </c>
      <c r="F18" t="s">
        <v>87</v>
      </c>
      <c r="G18" t="s">
        <v>88</v>
      </c>
      <c r="H18">
        <v>189</v>
      </c>
      <c r="L18" s="26"/>
    </row>
    <row r="19" spans="3:12">
      <c r="D19" t="s">
        <v>98</v>
      </c>
      <c r="E19">
        <v>1079</v>
      </c>
      <c r="G19" t="s">
        <v>98</v>
      </c>
      <c r="H19">
        <v>1079</v>
      </c>
      <c r="L19" s="27"/>
    </row>
    <row r="20" spans="3:12">
      <c r="C20" t="s">
        <v>82</v>
      </c>
      <c r="D20" s="3" t="s">
        <v>92</v>
      </c>
      <c r="E20" s="25">
        <v>0.28000000000000003</v>
      </c>
      <c r="F20" t="s">
        <v>82</v>
      </c>
      <c r="G20" s="3" t="s">
        <v>92</v>
      </c>
      <c r="H20" s="25">
        <v>0.28000000000000003</v>
      </c>
      <c r="L20" s="27"/>
    </row>
    <row r="21" spans="3:12">
      <c r="C21" t="s">
        <v>83</v>
      </c>
      <c r="D21" t="s">
        <v>94</v>
      </c>
      <c r="E21" s="26">
        <v>0.12</v>
      </c>
      <c r="F21" t="s">
        <v>83</v>
      </c>
      <c r="G21" t="s">
        <v>122</v>
      </c>
      <c r="H21" s="26">
        <v>0.08</v>
      </c>
    </row>
    <row r="22" spans="3:12">
      <c r="D22" t="s">
        <v>92</v>
      </c>
      <c r="E22" s="26">
        <v>0.15</v>
      </c>
      <c r="G22" t="s">
        <v>92</v>
      </c>
      <c r="H22" s="26">
        <v>0.15</v>
      </c>
    </row>
    <row r="23" spans="3:12">
      <c r="D23" t="s">
        <v>93</v>
      </c>
      <c r="E23" s="26">
        <v>0.05</v>
      </c>
      <c r="G23" t="s">
        <v>94</v>
      </c>
      <c r="H23" s="26">
        <v>0.08</v>
      </c>
    </row>
    <row r="24" spans="3:12">
      <c r="D24" t="s">
        <v>121</v>
      </c>
      <c r="E24" s="26">
        <v>0.05</v>
      </c>
      <c r="G24" t="s">
        <v>90</v>
      </c>
      <c r="H24" s="28">
        <v>50</v>
      </c>
    </row>
  </sheetData>
  <mergeCells count="16">
    <mergeCell ref="D17:E17"/>
    <mergeCell ref="G17:H17"/>
    <mergeCell ref="K11:L11"/>
    <mergeCell ref="K12:L12"/>
    <mergeCell ref="K14:L14"/>
    <mergeCell ref="K15:L15"/>
    <mergeCell ref="D16:E16"/>
    <mergeCell ref="G16:H16"/>
    <mergeCell ref="D1:G1"/>
    <mergeCell ref="I1:K1"/>
    <mergeCell ref="D6:E6"/>
    <mergeCell ref="G6:H6"/>
    <mergeCell ref="K6:L6"/>
    <mergeCell ref="D7:E7"/>
    <mergeCell ref="G7:H7"/>
    <mergeCell ref="K7:L7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0AF3B-A0DB-47A3-B4B5-587004E3EA31}">
  <dimension ref="A1:L24"/>
  <sheetViews>
    <sheetView workbookViewId="0">
      <selection activeCell="M12" sqref="M12"/>
    </sheetView>
  </sheetViews>
  <sheetFormatPr defaultRowHeight="16.5"/>
  <cols>
    <col min="2" max="2" width="25.25" customWidth="1"/>
    <col min="4" max="4" width="14.875" bestFit="1" customWidth="1"/>
    <col min="7" max="7" width="14.875" bestFit="1" customWidth="1"/>
    <col min="8" max="8" width="17.75" bestFit="1" customWidth="1"/>
    <col min="11" max="11" width="16.75" customWidth="1"/>
    <col min="12" max="12" width="10.75" customWidth="1"/>
  </cols>
  <sheetData>
    <row r="1" spans="1:12">
      <c r="A1" s="3"/>
      <c r="B1" s="1" t="s">
        <v>17</v>
      </c>
      <c r="C1" s="1"/>
      <c r="D1" s="2" t="s">
        <v>72</v>
      </c>
      <c r="E1" s="2"/>
      <c r="F1" s="2"/>
      <c r="G1" s="2"/>
      <c r="H1" s="1" t="s">
        <v>71</v>
      </c>
      <c r="I1" s="2" t="s">
        <v>20</v>
      </c>
      <c r="J1" s="2"/>
      <c r="K1" s="2"/>
    </row>
    <row r="2" spans="1:12">
      <c r="A2" s="3"/>
      <c r="B2" s="1" t="s">
        <v>11</v>
      </c>
      <c r="C2" s="1"/>
      <c r="D2" s="1" t="s">
        <v>73</v>
      </c>
      <c r="E2" s="1" t="s">
        <v>74</v>
      </c>
      <c r="F2" s="1" t="s">
        <v>75</v>
      </c>
      <c r="G2" s="1" t="s">
        <v>16</v>
      </c>
      <c r="H2" s="1">
        <v>12</v>
      </c>
      <c r="I2" s="1" t="s">
        <v>78</v>
      </c>
      <c r="J2" s="1" t="s">
        <v>79</v>
      </c>
      <c r="K2" s="1" t="s">
        <v>80</v>
      </c>
    </row>
    <row r="3" spans="1:12">
      <c r="A3" s="3"/>
      <c r="B3" s="1"/>
      <c r="C3" s="1"/>
      <c r="D3" s="1" t="s">
        <v>76</v>
      </c>
      <c r="E3" s="1" t="s">
        <v>76</v>
      </c>
      <c r="F3" s="1" t="s">
        <v>76</v>
      </c>
      <c r="G3" s="1" t="s">
        <v>76</v>
      </c>
      <c r="H3" s="1" t="s">
        <v>126</v>
      </c>
      <c r="I3" s="1">
        <v>0</v>
      </c>
      <c r="J3" s="1">
        <v>0</v>
      </c>
      <c r="K3" s="1">
        <v>0</v>
      </c>
    </row>
    <row r="4" spans="1:12">
      <c r="A4" s="3"/>
      <c r="B4" s="3"/>
      <c r="C4" s="3"/>
      <c r="D4" s="3"/>
      <c r="E4" s="3"/>
      <c r="F4" s="3"/>
      <c r="G4" s="3"/>
      <c r="H4" s="3"/>
      <c r="I4" s="3"/>
    </row>
    <row r="6" spans="1:12">
      <c r="D6" s="2" t="s">
        <v>81</v>
      </c>
      <c r="E6" s="2"/>
      <c r="G6" s="2" t="s">
        <v>84</v>
      </c>
      <c r="H6" s="2"/>
      <c r="K6" s="2" t="s">
        <v>100</v>
      </c>
      <c r="L6" s="2"/>
    </row>
    <row r="7" spans="1:12">
      <c r="C7" t="s">
        <v>85</v>
      </c>
      <c r="D7" s="2" t="s">
        <v>127</v>
      </c>
      <c r="E7" s="2"/>
      <c r="F7" t="s">
        <v>85</v>
      </c>
      <c r="G7" s="2" t="s">
        <v>127</v>
      </c>
      <c r="H7" s="2"/>
      <c r="J7" t="s">
        <v>102</v>
      </c>
      <c r="K7" s="2" t="s">
        <v>129</v>
      </c>
      <c r="L7" s="2"/>
    </row>
    <row r="8" spans="1:12">
      <c r="C8" t="s">
        <v>87</v>
      </c>
      <c r="D8" t="s">
        <v>89</v>
      </c>
      <c r="E8">
        <v>304</v>
      </c>
      <c r="F8" t="s">
        <v>87</v>
      </c>
      <c r="G8" t="s">
        <v>89</v>
      </c>
      <c r="H8">
        <v>304</v>
      </c>
      <c r="J8" t="s">
        <v>87</v>
      </c>
      <c r="K8" t="s">
        <v>113</v>
      </c>
      <c r="L8" s="26">
        <v>0.1</v>
      </c>
    </row>
    <row r="9" spans="1:12">
      <c r="K9" t="s">
        <v>95</v>
      </c>
      <c r="L9" s="26">
        <v>0.1</v>
      </c>
    </row>
    <row r="10" spans="1:12">
      <c r="C10" t="s">
        <v>82</v>
      </c>
      <c r="D10" s="3" t="s">
        <v>95</v>
      </c>
      <c r="E10" s="25">
        <v>0.28000000000000003</v>
      </c>
      <c r="F10" t="s">
        <v>82</v>
      </c>
      <c r="G10" s="3" t="s">
        <v>95</v>
      </c>
      <c r="H10" s="25">
        <v>0.28000000000000003</v>
      </c>
      <c r="K10" t="s">
        <v>105</v>
      </c>
      <c r="L10" s="26">
        <v>0.1</v>
      </c>
    </row>
    <row r="11" spans="1:12">
      <c r="C11" t="s">
        <v>83</v>
      </c>
      <c r="D11" t="s">
        <v>88</v>
      </c>
      <c r="E11" s="28">
        <v>150</v>
      </c>
      <c r="F11" t="s">
        <v>83</v>
      </c>
      <c r="G11" t="s">
        <v>95</v>
      </c>
      <c r="H11" s="26">
        <v>0.15</v>
      </c>
      <c r="J11" t="s">
        <v>82</v>
      </c>
      <c r="K11" s="2" t="s">
        <v>130</v>
      </c>
      <c r="L11" s="2"/>
    </row>
    <row r="12" spans="1:12">
      <c r="D12" t="s">
        <v>122</v>
      </c>
      <c r="E12" s="26">
        <v>0.04</v>
      </c>
      <c r="G12" t="s">
        <v>122</v>
      </c>
      <c r="H12" s="26">
        <v>0.08</v>
      </c>
      <c r="J12" t="s">
        <v>101</v>
      </c>
      <c r="K12" s="2"/>
      <c r="L12" s="2"/>
    </row>
    <row r="13" spans="1:12">
      <c r="D13" t="s">
        <v>128</v>
      </c>
      <c r="E13" s="28">
        <v>4</v>
      </c>
      <c r="G13" t="s">
        <v>128</v>
      </c>
      <c r="H13" s="28">
        <v>8</v>
      </c>
    </row>
    <row r="14" spans="1:12">
      <c r="D14" t="s">
        <v>105</v>
      </c>
      <c r="E14" s="26">
        <v>0.1</v>
      </c>
      <c r="G14" t="s">
        <v>105</v>
      </c>
      <c r="H14" s="26">
        <v>0.05</v>
      </c>
      <c r="K14" s="2" t="s">
        <v>108</v>
      </c>
      <c r="L14" s="2"/>
    </row>
    <row r="15" spans="1:12">
      <c r="J15" t="s">
        <v>109</v>
      </c>
      <c r="K15" s="2"/>
      <c r="L15" s="2"/>
    </row>
    <row r="16" spans="1:12">
      <c r="D16" s="2" t="s">
        <v>96</v>
      </c>
      <c r="E16" s="2"/>
      <c r="G16" s="2" t="s">
        <v>97</v>
      </c>
      <c r="H16" s="2"/>
      <c r="J16" t="s">
        <v>87</v>
      </c>
    </row>
    <row r="17" spans="3:12">
      <c r="C17" t="s">
        <v>85</v>
      </c>
      <c r="D17" s="2" t="s">
        <v>127</v>
      </c>
      <c r="E17" s="2"/>
      <c r="F17" t="s">
        <v>85</v>
      </c>
      <c r="G17" s="2" t="s">
        <v>127</v>
      </c>
      <c r="H17" s="2"/>
      <c r="J17" t="s">
        <v>111</v>
      </c>
      <c r="L17" s="27"/>
    </row>
    <row r="18" spans="3:12">
      <c r="C18" t="s">
        <v>87</v>
      </c>
      <c r="D18" t="s">
        <v>88</v>
      </c>
      <c r="E18">
        <v>189</v>
      </c>
      <c r="F18" t="s">
        <v>87</v>
      </c>
      <c r="G18" t="s">
        <v>88</v>
      </c>
      <c r="H18">
        <v>189</v>
      </c>
      <c r="L18" s="26"/>
    </row>
    <row r="19" spans="3:12">
      <c r="D19" t="s">
        <v>98</v>
      </c>
      <c r="E19">
        <v>1079</v>
      </c>
      <c r="G19" t="s">
        <v>98</v>
      </c>
      <c r="H19">
        <v>1079</v>
      </c>
      <c r="L19" s="27"/>
    </row>
    <row r="20" spans="3:12">
      <c r="C20" t="s">
        <v>82</v>
      </c>
      <c r="D20" s="3" t="s">
        <v>122</v>
      </c>
      <c r="E20" s="25">
        <v>0.24</v>
      </c>
      <c r="F20" t="s">
        <v>82</v>
      </c>
      <c r="G20" s="3" t="s">
        <v>122</v>
      </c>
      <c r="H20" s="25">
        <v>0.24</v>
      </c>
      <c r="L20" s="27"/>
    </row>
    <row r="21" spans="3:12">
      <c r="C21" t="s">
        <v>83</v>
      </c>
      <c r="D21" t="s">
        <v>98</v>
      </c>
      <c r="E21" s="28">
        <v>360</v>
      </c>
      <c r="F21" t="s">
        <v>83</v>
      </c>
      <c r="G21" t="s">
        <v>95</v>
      </c>
      <c r="H21" s="26">
        <v>0.05</v>
      </c>
    </row>
    <row r="22" spans="3:12">
      <c r="D22" t="s">
        <v>88</v>
      </c>
      <c r="E22" s="28">
        <v>30</v>
      </c>
      <c r="G22" t="s">
        <v>128</v>
      </c>
      <c r="H22" s="28">
        <v>8</v>
      </c>
    </row>
    <row r="23" spans="3:12">
      <c r="D23" t="s">
        <v>121</v>
      </c>
      <c r="E23" s="26">
        <v>0.1</v>
      </c>
      <c r="G23" t="s">
        <v>91</v>
      </c>
      <c r="H23" s="26">
        <v>0.18</v>
      </c>
    </row>
    <row r="24" spans="3:12">
      <c r="D24" t="s">
        <v>122</v>
      </c>
      <c r="E24" s="26">
        <v>0.12</v>
      </c>
      <c r="G24" t="s">
        <v>122</v>
      </c>
      <c r="H24" s="26">
        <v>0.08</v>
      </c>
    </row>
  </sheetData>
  <mergeCells count="16">
    <mergeCell ref="D17:E17"/>
    <mergeCell ref="G17:H17"/>
    <mergeCell ref="K11:L11"/>
    <mergeCell ref="K12:L12"/>
    <mergeCell ref="K14:L14"/>
    <mergeCell ref="K15:L15"/>
    <mergeCell ref="D16:E16"/>
    <mergeCell ref="G16:H16"/>
    <mergeCell ref="D1:G1"/>
    <mergeCell ref="I1:K1"/>
    <mergeCell ref="D6:E6"/>
    <mergeCell ref="G6:H6"/>
    <mergeCell ref="K6:L6"/>
    <mergeCell ref="D7:E7"/>
    <mergeCell ref="G7:H7"/>
    <mergeCell ref="K7:L7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C910C-2FAD-4FAB-9515-8D589B690298}">
  <dimension ref="A1:L24"/>
  <sheetViews>
    <sheetView workbookViewId="0">
      <selection activeCell="J21" sqref="J21"/>
    </sheetView>
  </sheetViews>
  <sheetFormatPr defaultRowHeight="16.5"/>
  <cols>
    <col min="2" max="2" width="25.25" customWidth="1"/>
    <col min="4" max="4" width="14.875" bestFit="1" customWidth="1"/>
    <col min="7" max="7" width="14.875" bestFit="1" customWidth="1"/>
    <col min="8" max="8" width="17.75" bestFit="1" customWidth="1"/>
    <col min="11" max="11" width="16.75" customWidth="1"/>
    <col min="12" max="12" width="10.75" customWidth="1"/>
  </cols>
  <sheetData>
    <row r="1" spans="1:12">
      <c r="A1" s="3"/>
      <c r="B1" s="1" t="s">
        <v>17</v>
      </c>
      <c r="C1" s="1"/>
      <c r="D1" s="2" t="s">
        <v>72</v>
      </c>
      <c r="E1" s="2"/>
      <c r="F1" s="2"/>
      <c r="G1" s="2"/>
      <c r="H1" s="1" t="s">
        <v>71</v>
      </c>
      <c r="I1" s="2" t="s">
        <v>20</v>
      </c>
      <c r="J1" s="2"/>
      <c r="K1" s="2"/>
    </row>
    <row r="2" spans="1:12">
      <c r="A2" s="3"/>
      <c r="B2" s="1" t="s">
        <v>12</v>
      </c>
      <c r="C2" s="1"/>
      <c r="D2" s="1" t="s">
        <v>73</v>
      </c>
      <c r="E2" s="1" t="s">
        <v>74</v>
      </c>
      <c r="F2" s="1" t="s">
        <v>75</v>
      </c>
      <c r="G2" s="1" t="s">
        <v>16</v>
      </c>
      <c r="H2" s="1">
        <v>10</v>
      </c>
      <c r="I2" s="1" t="s">
        <v>78</v>
      </c>
      <c r="J2" s="1" t="s">
        <v>79</v>
      </c>
      <c r="K2" s="1" t="s">
        <v>80</v>
      </c>
    </row>
    <row r="3" spans="1:12">
      <c r="A3" s="3"/>
      <c r="B3" s="1"/>
      <c r="C3" s="1"/>
      <c r="D3" s="1" t="s">
        <v>76</v>
      </c>
      <c r="E3" s="1" t="s">
        <v>76</v>
      </c>
      <c r="F3" s="1" t="s">
        <v>76</v>
      </c>
      <c r="G3" s="1" t="s">
        <v>76</v>
      </c>
      <c r="H3" s="1" t="s">
        <v>120</v>
      </c>
      <c r="I3" s="1">
        <v>0</v>
      </c>
      <c r="J3" s="1">
        <v>0</v>
      </c>
      <c r="K3" s="1">
        <v>0</v>
      </c>
    </row>
    <row r="4" spans="1:12">
      <c r="A4" s="3"/>
      <c r="B4" s="3"/>
      <c r="C4" s="3"/>
      <c r="D4" s="3"/>
      <c r="E4" s="3"/>
      <c r="F4" s="3"/>
      <c r="G4" s="3"/>
      <c r="H4" s="3"/>
      <c r="I4" s="3"/>
    </row>
    <row r="6" spans="1:12">
      <c r="D6" s="2" t="s">
        <v>81</v>
      </c>
      <c r="E6" s="2"/>
      <c r="G6" s="2" t="s">
        <v>84</v>
      </c>
      <c r="H6" s="2"/>
      <c r="K6" s="2" t="s">
        <v>100</v>
      </c>
      <c r="L6" s="2"/>
    </row>
    <row r="7" spans="1:12">
      <c r="C7" t="s">
        <v>85</v>
      </c>
      <c r="D7" s="2" t="s">
        <v>131</v>
      </c>
      <c r="E7" s="2"/>
      <c r="F7" t="s">
        <v>85</v>
      </c>
      <c r="G7" s="2" t="s">
        <v>131</v>
      </c>
      <c r="H7" s="2"/>
      <c r="J7" t="s">
        <v>102</v>
      </c>
      <c r="K7" s="2" t="s">
        <v>129</v>
      </c>
      <c r="L7" s="2"/>
    </row>
    <row r="8" spans="1:12">
      <c r="C8" t="s">
        <v>87</v>
      </c>
      <c r="D8" t="s">
        <v>89</v>
      </c>
      <c r="E8">
        <v>304</v>
      </c>
      <c r="F8" t="s">
        <v>87</v>
      </c>
      <c r="G8" t="s">
        <v>89</v>
      </c>
      <c r="H8">
        <v>304</v>
      </c>
      <c r="J8" t="s">
        <v>87</v>
      </c>
      <c r="K8" t="s">
        <v>113</v>
      </c>
      <c r="L8" s="26">
        <v>0.1</v>
      </c>
    </row>
    <row r="9" spans="1:12">
      <c r="K9" t="s">
        <v>95</v>
      </c>
      <c r="L9" s="26">
        <v>0.1</v>
      </c>
    </row>
    <row r="10" spans="1:12">
      <c r="C10" t="s">
        <v>82</v>
      </c>
      <c r="D10" s="3" t="s">
        <v>105</v>
      </c>
      <c r="E10" s="25">
        <v>0.28000000000000003</v>
      </c>
      <c r="F10" t="s">
        <v>82</v>
      </c>
      <c r="G10" s="3" t="s">
        <v>105</v>
      </c>
      <c r="H10" s="25">
        <v>0.28000000000000003</v>
      </c>
      <c r="K10" t="s">
        <v>105</v>
      </c>
      <c r="L10" s="26">
        <v>0.1</v>
      </c>
    </row>
    <row r="11" spans="1:12">
      <c r="C11" t="s">
        <v>83</v>
      </c>
      <c r="D11" t="s">
        <v>95</v>
      </c>
      <c r="E11" s="26">
        <v>0.2</v>
      </c>
      <c r="F11" t="s">
        <v>83</v>
      </c>
      <c r="G11" t="s">
        <v>88</v>
      </c>
      <c r="H11" s="28">
        <v>90</v>
      </c>
      <c r="J11" t="s">
        <v>82</v>
      </c>
      <c r="K11" s="2" t="s">
        <v>130</v>
      </c>
      <c r="L11" s="2"/>
    </row>
    <row r="12" spans="1:12">
      <c r="D12" t="s">
        <v>92</v>
      </c>
      <c r="E12" s="26">
        <v>0.05</v>
      </c>
      <c r="G12" t="s">
        <v>122</v>
      </c>
      <c r="H12" s="26">
        <v>0.04</v>
      </c>
      <c r="J12" t="s">
        <v>101</v>
      </c>
      <c r="K12" s="2"/>
      <c r="L12" s="2"/>
    </row>
    <row r="13" spans="1:12">
      <c r="D13" t="s">
        <v>128</v>
      </c>
      <c r="E13" s="28">
        <v>4</v>
      </c>
      <c r="G13" t="s">
        <v>128</v>
      </c>
      <c r="H13" s="28">
        <v>4</v>
      </c>
    </row>
    <row r="14" spans="1:12">
      <c r="D14" t="s">
        <v>98</v>
      </c>
      <c r="E14" s="28">
        <v>360</v>
      </c>
      <c r="G14" t="s">
        <v>105</v>
      </c>
      <c r="H14" s="26">
        <v>0.1</v>
      </c>
      <c r="K14" s="2" t="s">
        <v>108</v>
      </c>
      <c r="L14" s="2"/>
    </row>
    <row r="15" spans="1:12">
      <c r="J15" t="s">
        <v>109</v>
      </c>
      <c r="K15" s="2"/>
      <c r="L15" s="2"/>
    </row>
    <row r="16" spans="1:12">
      <c r="D16" s="2" t="s">
        <v>96</v>
      </c>
      <c r="E16" s="2"/>
      <c r="G16" s="2" t="s">
        <v>97</v>
      </c>
      <c r="H16" s="2"/>
      <c r="J16" t="s">
        <v>87</v>
      </c>
    </row>
    <row r="17" spans="3:12">
      <c r="C17" t="s">
        <v>85</v>
      </c>
      <c r="D17" s="2" t="s">
        <v>131</v>
      </c>
      <c r="E17" s="2"/>
      <c r="F17" t="s">
        <v>85</v>
      </c>
      <c r="G17" s="2" t="s">
        <v>131</v>
      </c>
      <c r="H17" s="2"/>
      <c r="J17" t="s">
        <v>111</v>
      </c>
      <c r="L17" s="27"/>
    </row>
    <row r="18" spans="3:12">
      <c r="C18" t="s">
        <v>87</v>
      </c>
      <c r="D18" t="s">
        <v>88</v>
      </c>
      <c r="E18">
        <v>189</v>
      </c>
      <c r="F18" t="s">
        <v>87</v>
      </c>
      <c r="G18" t="s">
        <v>88</v>
      </c>
      <c r="H18">
        <v>189</v>
      </c>
      <c r="L18" s="26"/>
    </row>
    <row r="19" spans="3:12">
      <c r="D19" t="s">
        <v>98</v>
      </c>
      <c r="E19">
        <v>1079</v>
      </c>
      <c r="G19" t="s">
        <v>98</v>
      </c>
      <c r="H19">
        <v>1079</v>
      </c>
      <c r="L19" s="27"/>
    </row>
    <row r="20" spans="3:12">
      <c r="C20" t="s">
        <v>82</v>
      </c>
      <c r="D20" s="3" t="s">
        <v>105</v>
      </c>
      <c r="E20" s="25">
        <v>0.28000000000000003</v>
      </c>
      <c r="F20" t="s">
        <v>82</v>
      </c>
      <c r="G20" s="3" t="s">
        <v>105</v>
      </c>
      <c r="H20" s="25">
        <v>0.28000000000000003</v>
      </c>
      <c r="L20" s="27"/>
    </row>
    <row r="21" spans="3:12">
      <c r="C21" t="s">
        <v>83</v>
      </c>
      <c r="D21" t="s">
        <v>105</v>
      </c>
      <c r="E21" s="26">
        <v>0.1</v>
      </c>
      <c r="F21" t="s">
        <v>83</v>
      </c>
      <c r="G21" t="s">
        <v>105</v>
      </c>
      <c r="H21" s="26">
        <v>0.05</v>
      </c>
    </row>
    <row r="22" spans="3:12">
      <c r="D22" t="s">
        <v>98</v>
      </c>
      <c r="E22" s="28">
        <v>540</v>
      </c>
      <c r="G22" t="s">
        <v>128</v>
      </c>
      <c r="H22" s="28">
        <v>12</v>
      </c>
    </row>
    <row r="23" spans="3:12">
      <c r="D23" t="s">
        <v>121</v>
      </c>
      <c r="E23" s="26">
        <v>0.1</v>
      </c>
      <c r="G23" t="s">
        <v>116</v>
      </c>
      <c r="H23" s="26">
        <v>0.16</v>
      </c>
    </row>
    <row r="24" spans="3:12">
      <c r="D24" t="s">
        <v>117</v>
      </c>
      <c r="E24" s="26">
        <v>0.06</v>
      </c>
      <c r="G24" t="s">
        <v>98</v>
      </c>
      <c r="H24" s="28">
        <v>180</v>
      </c>
    </row>
  </sheetData>
  <mergeCells count="16">
    <mergeCell ref="D17:E17"/>
    <mergeCell ref="G17:H17"/>
    <mergeCell ref="K11:L11"/>
    <mergeCell ref="K12:L12"/>
    <mergeCell ref="K14:L14"/>
    <mergeCell ref="K15:L15"/>
    <mergeCell ref="D16:E16"/>
    <mergeCell ref="G16:H16"/>
    <mergeCell ref="D1:G1"/>
    <mergeCell ref="I1:K1"/>
    <mergeCell ref="D6:E6"/>
    <mergeCell ref="G6:H6"/>
    <mergeCell ref="K6:L6"/>
    <mergeCell ref="D7:E7"/>
    <mergeCell ref="G7:H7"/>
    <mergeCell ref="K7:L7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공성전</vt:lpstr>
      <vt:lpstr>나타</vt:lpstr>
      <vt:lpstr>미호</vt:lpstr>
      <vt:lpstr>비스킷</vt:lpstr>
      <vt:lpstr>클로에</vt:lpstr>
      <vt:lpstr>리나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김광동</dc:creator>
  <cp:lastModifiedBy>김광동</cp:lastModifiedBy>
  <dcterms:created xsi:type="dcterms:W3CDTF">2026-06-02T11:26:47Z</dcterms:created>
  <dcterms:modified xsi:type="dcterms:W3CDTF">2026-06-02T13:00:05Z</dcterms:modified>
</cp:coreProperties>
</file>